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filterPrivacy="1" defaultThemeVersion="124226"/>
  <xr:revisionPtr revIDLastSave="0" documentId="13_ncr:1_{555FE959-C7AF-4F57-B948-C6F32D1D76E5}" xr6:coauthVersionLast="43" xr6:coauthVersionMax="43" xr10:uidLastSave="{00000000-0000-0000-0000-000000000000}"/>
  <bookViews>
    <workbookView xWindow="-120" yWindow="-120" windowWidth="20730" windowHeight="11160" tabRatio="688" firstSheet="10" activeTab="25" xr2:uid="{00000000-000D-0000-FFFF-FFFF00000000}"/>
  </bookViews>
  <sheets>
    <sheet name="1" sheetId="1" r:id="rId1"/>
    <sheet name="2(discard)" sheetId="31" r:id="rId2"/>
    <sheet name="3" sheetId="28" r:id="rId3"/>
    <sheet name="4" sheetId="33" r:id="rId4"/>
    <sheet name="5" sheetId="34" r:id="rId5"/>
    <sheet name="6(discard)" sheetId="35" r:id="rId6"/>
    <sheet name="7(discard)" sheetId="36" r:id="rId7"/>
    <sheet name="8" sheetId="37" r:id="rId8"/>
    <sheet name="9" sheetId="38" r:id="rId9"/>
    <sheet name="10" sheetId="4" r:id="rId10"/>
    <sheet name="11" sheetId="11" r:id="rId11"/>
    <sheet name="12" sheetId="12" r:id="rId12"/>
    <sheet name="13" sheetId="39" r:id="rId13"/>
    <sheet name="14" sheetId="40" r:id="rId14"/>
    <sheet name="15" sheetId="13" r:id="rId15"/>
    <sheet name="16" sheetId="41" r:id="rId16"/>
    <sheet name="17" sheetId="42" r:id="rId17"/>
    <sheet name="18" sheetId="43" r:id="rId18"/>
    <sheet name="19" sheetId="45" r:id="rId19"/>
    <sheet name="20" sheetId="44" r:id="rId20"/>
    <sheet name="21" sheetId="21" r:id="rId21"/>
    <sheet name="22" sheetId="22" r:id="rId22"/>
    <sheet name="23" sheetId="23" r:id="rId23"/>
    <sheet name="24" sheetId="49" r:id="rId24"/>
    <sheet name="ALL" sheetId="26" r:id="rId25"/>
    <sheet name="TEMPERATURE" sheetId="27" r:id="rId26"/>
    <sheet name="Sheet1" sheetId="48" r:id="rId27"/>
  </sheets>
  <definedNames>
    <definedName name="_xlnm.Print_Area" localSheetId="24">ALL!$A$1:$Y$28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T28" i="26" l="1"/>
  <c r="R28" i="26"/>
  <c r="S33" i="49"/>
  <c r="U27" i="26"/>
  <c r="U26" i="26"/>
  <c r="U25" i="26"/>
  <c r="U24" i="26"/>
  <c r="U23" i="26" l="1"/>
  <c r="U22" i="26" l="1"/>
  <c r="U21" i="26"/>
  <c r="U20" i="26"/>
  <c r="U19" i="26"/>
  <c r="U18" i="26"/>
  <c r="U17" i="26"/>
  <c r="U16" i="26" l="1"/>
  <c r="U15" i="26"/>
  <c r="U14" i="26"/>
  <c r="U13" i="26"/>
  <c r="U12" i="26"/>
  <c r="U11" i="26"/>
  <c r="U8" i="26"/>
  <c r="U7" i="26"/>
  <c r="U6" i="26"/>
  <c r="U4" i="26"/>
  <c r="AX27" i="28" l="1"/>
  <c r="F23" i="48" l="1"/>
  <c r="E23" i="48"/>
  <c r="F10" i="48"/>
  <c r="E10" i="48"/>
  <c r="T26" i="26" l="1"/>
  <c r="R26" i="26"/>
  <c r="P26" i="26"/>
  <c r="N26" i="26"/>
  <c r="L26" i="26"/>
  <c r="B26" i="26"/>
  <c r="AY33" i="49"/>
  <c r="AX33" i="49"/>
  <c r="AY32" i="49"/>
  <c r="AX32" i="49"/>
  <c r="AY31" i="49"/>
  <c r="AX31" i="49"/>
  <c r="AY30" i="49"/>
  <c r="AX30" i="49"/>
  <c r="AY29" i="49"/>
  <c r="AX29" i="49"/>
  <c r="AY28" i="49"/>
  <c r="AZ28" i="49" s="1"/>
  <c r="BD28" i="49" s="1"/>
  <c r="AX28" i="49"/>
  <c r="AY27" i="49"/>
  <c r="AX27" i="49"/>
  <c r="Q27" i="49"/>
  <c r="A24" i="49"/>
  <c r="A27" i="49" s="1"/>
  <c r="A28" i="49" s="1"/>
  <c r="A29" i="49" s="1"/>
  <c r="A30" i="49" s="1"/>
  <c r="A31" i="49" s="1"/>
  <c r="A32" i="49" s="1"/>
  <c r="A33" i="49" s="1"/>
  <c r="A22" i="49"/>
  <c r="BD33" i="23"/>
  <c r="AZ33" i="23"/>
  <c r="AY33" i="23"/>
  <c r="AX33" i="23"/>
  <c r="S33" i="23"/>
  <c r="AY32" i="23"/>
  <c r="AX32" i="23"/>
  <c r="AY31" i="23"/>
  <c r="AX31" i="23"/>
  <c r="AY30" i="23"/>
  <c r="AX30" i="23"/>
  <c r="AY29" i="23"/>
  <c r="AZ29" i="23" s="1"/>
  <c r="BD29" i="23" s="1"/>
  <c r="AX29" i="23"/>
  <c r="AY28" i="23"/>
  <c r="AZ28" i="23" s="1"/>
  <c r="BD28" i="23" s="1"/>
  <c r="AX28" i="23"/>
  <c r="AY27" i="23"/>
  <c r="AX27" i="23"/>
  <c r="AZ27" i="23" s="1"/>
  <c r="BD27" i="23" s="1"/>
  <c r="Q27" i="23"/>
  <c r="A24" i="23"/>
  <c r="A27" i="23" s="1"/>
  <c r="A28" i="23" s="1"/>
  <c r="A29" i="23" s="1"/>
  <c r="A30" i="23" s="1"/>
  <c r="A31" i="23" s="1"/>
  <c r="A32" i="23" s="1"/>
  <c r="A33" i="23" s="1"/>
  <c r="A22" i="23"/>
  <c r="BD33" i="22"/>
  <c r="AZ33" i="22"/>
  <c r="AY33" i="22"/>
  <c r="AX33" i="22"/>
  <c r="S33" i="22"/>
  <c r="AY32" i="22"/>
  <c r="AX32" i="22"/>
  <c r="AY31" i="22"/>
  <c r="AZ31" i="22" s="1"/>
  <c r="BD31" i="22" s="1"/>
  <c r="AX31" i="22"/>
  <c r="AY30" i="22"/>
  <c r="AX30" i="22"/>
  <c r="AY29" i="22"/>
  <c r="AZ29" i="22" s="1"/>
  <c r="BD29" i="22" s="1"/>
  <c r="AX29" i="22"/>
  <c r="AY28" i="22"/>
  <c r="AZ28" i="22" s="1"/>
  <c r="BD28" i="22" s="1"/>
  <c r="AX28" i="22"/>
  <c r="AY27" i="22"/>
  <c r="AX27" i="22"/>
  <c r="AZ27" i="22" s="1"/>
  <c r="BD27" i="22" s="1"/>
  <c r="Q27" i="22"/>
  <c r="A24" i="22"/>
  <c r="A27" i="22" s="1"/>
  <c r="A28" i="22" s="1"/>
  <c r="A29" i="22" s="1"/>
  <c r="A30" i="22" s="1"/>
  <c r="A31" i="22" s="1"/>
  <c r="A32" i="22" s="1"/>
  <c r="A33" i="22" s="1"/>
  <c r="A22" i="22"/>
  <c r="AY33" i="44"/>
  <c r="AX33" i="44"/>
  <c r="S33" i="44"/>
  <c r="AY32" i="44"/>
  <c r="AZ32" i="44" s="1"/>
  <c r="BD32" i="44" s="1"/>
  <c r="AX32" i="44"/>
  <c r="AY31" i="44"/>
  <c r="AZ31" i="44" s="1"/>
  <c r="BD31" i="44" s="1"/>
  <c r="AX31" i="44"/>
  <c r="AY30" i="44"/>
  <c r="AX30" i="44"/>
  <c r="AY29" i="44"/>
  <c r="AZ29" i="44" s="1"/>
  <c r="BD29" i="44" s="1"/>
  <c r="AX29" i="44"/>
  <c r="AY28" i="44"/>
  <c r="AX28" i="44"/>
  <c r="AY27" i="44"/>
  <c r="AX27" i="44"/>
  <c r="Q27" i="44"/>
  <c r="A24" i="44"/>
  <c r="A27" i="44" s="1"/>
  <c r="A28" i="44" s="1"/>
  <c r="A29" i="44" s="1"/>
  <c r="A30" i="44" s="1"/>
  <c r="A31" i="44" s="1"/>
  <c r="A32" i="44" s="1"/>
  <c r="A33" i="44" s="1"/>
  <c r="A22" i="44"/>
  <c r="AY33" i="45"/>
  <c r="AX33" i="45"/>
  <c r="AZ33" i="45" s="1"/>
  <c r="BD33" i="45" s="1"/>
  <c r="S33" i="45"/>
  <c r="AY32" i="45"/>
  <c r="AX32" i="45"/>
  <c r="AY31" i="45"/>
  <c r="AZ31" i="45" s="1"/>
  <c r="BD31" i="45" s="1"/>
  <c r="AX31" i="45"/>
  <c r="AY30" i="45"/>
  <c r="AZ30" i="45" s="1"/>
  <c r="BD30" i="45" s="1"/>
  <c r="AX30" i="45"/>
  <c r="AY29" i="45"/>
  <c r="AX29" i="45"/>
  <c r="AY28" i="45"/>
  <c r="AZ28" i="45" s="1"/>
  <c r="BD28" i="45" s="1"/>
  <c r="AX28" i="45"/>
  <c r="AY27" i="45"/>
  <c r="AX27" i="45"/>
  <c r="Q27" i="45"/>
  <c r="A24" i="45"/>
  <c r="A27" i="45" s="1"/>
  <c r="A28" i="45" s="1"/>
  <c r="A29" i="45" s="1"/>
  <c r="A30" i="45" s="1"/>
  <c r="A31" i="45" s="1"/>
  <c r="A32" i="45" s="1"/>
  <c r="A33" i="45" s="1"/>
  <c r="A22" i="45"/>
  <c r="AY33" i="43"/>
  <c r="AX33" i="43"/>
  <c r="AZ33" i="43" s="1"/>
  <c r="BD33" i="43" s="1"/>
  <c r="S33" i="43"/>
  <c r="AY32" i="43"/>
  <c r="AX32" i="43"/>
  <c r="AY31" i="43"/>
  <c r="AZ31" i="43" s="1"/>
  <c r="BD31" i="43" s="1"/>
  <c r="AX31" i="43"/>
  <c r="AY30" i="43"/>
  <c r="AZ30" i="43" s="1"/>
  <c r="BD30" i="43" s="1"/>
  <c r="AX30" i="43"/>
  <c r="AY29" i="43"/>
  <c r="AX29" i="43"/>
  <c r="AY28" i="43"/>
  <c r="AZ28" i="43" s="1"/>
  <c r="BD28" i="43" s="1"/>
  <c r="AX28" i="43"/>
  <c r="AY27" i="43"/>
  <c r="AX27" i="43"/>
  <c r="Q27" i="43"/>
  <c r="A24" i="43"/>
  <c r="A27" i="43" s="1"/>
  <c r="A28" i="43" s="1"/>
  <c r="A29" i="43" s="1"/>
  <c r="A30" i="43" s="1"/>
  <c r="A31" i="43" s="1"/>
  <c r="A32" i="43" s="1"/>
  <c r="A33" i="43" s="1"/>
  <c r="A22" i="43"/>
  <c r="AY33" i="42"/>
  <c r="AX33" i="42"/>
  <c r="AZ33" i="42" s="1"/>
  <c r="BD33" i="42" s="1"/>
  <c r="S33" i="42"/>
  <c r="AY32" i="42"/>
  <c r="AX32" i="42"/>
  <c r="AY31" i="42"/>
  <c r="AZ31" i="42" s="1"/>
  <c r="BD31" i="42" s="1"/>
  <c r="AX31" i="42"/>
  <c r="AY30" i="42"/>
  <c r="AX30" i="42"/>
  <c r="AY29" i="42"/>
  <c r="AX29" i="42"/>
  <c r="AY28" i="42"/>
  <c r="AX28" i="42"/>
  <c r="AY27" i="42"/>
  <c r="AZ27" i="42" s="1"/>
  <c r="BD27" i="42" s="1"/>
  <c r="AX27" i="42"/>
  <c r="Q27" i="42"/>
  <c r="A24" i="42"/>
  <c r="A27" i="42" s="1"/>
  <c r="A28" i="42" s="1"/>
  <c r="A29" i="42" s="1"/>
  <c r="A30" i="42" s="1"/>
  <c r="A31" i="42" s="1"/>
  <c r="A32" i="42" s="1"/>
  <c r="A33" i="42" s="1"/>
  <c r="A22" i="42"/>
  <c r="AY33" i="41"/>
  <c r="AX33" i="41"/>
  <c r="AZ33" i="41" s="1"/>
  <c r="BD33" i="41" s="1"/>
  <c r="S33" i="41"/>
  <c r="AY32" i="41"/>
  <c r="AX32" i="41"/>
  <c r="AY31" i="41"/>
  <c r="AZ31" i="41" s="1"/>
  <c r="BD31" i="41" s="1"/>
  <c r="AX31" i="41"/>
  <c r="AY30" i="41"/>
  <c r="AZ30" i="41" s="1"/>
  <c r="BD30" i="41" s="1"/>
  <c r="AX30" i="41"/>
  <c r="AY29" i="41"/>
  <c r="AX29" i="41"/>
  <c r="AY28" i="41"/>
  <c r="AZ28" i="41" s="1"/>
  <c r="BD28" i="41" s="1"/>
  <c r="AX28" i="41"/>
  <c r="AY27" i="41"/>
  <c r="AX27" i="41"/>
  <c r="Q27" i="41"/>
  <c r="A22" i="41"/>
  <c r="A24" i="41" s="1"/>
  <c r="A27" i="41" s="1"/>
  <c r="A28" i="41" s="1"/>
  <c r="A29" i="41" s="1"/>
  <c r="A30" i="41" s="1"/>
  <c r="A31" i="41" s="1"/>
  <c r="A32" i="41" s="1"/>
  <c r="A33" i="41" s="1"/>
  <c r="AY33" i="13"/>
  <c r="AX33" i="13"/>
  <c r="S33" i="13"/>
  <c r="AY32" i="13"/>
  <c r="AX32" i="13"/>
  <c r="AY31" i="13"/>
  <c r="AZ31" i="13" s="1"/>
  <c r="BD31" i="13" s="1"/>
  <c r="AX31" i="13"/>
  <c r="AY30" i="13"/>
  <c r="AZ30" i="13" s="1"/>
  <c r="BD30" i="13" s="1"/>
  <c r="AX30" i="13"/>
  <c r="AY29" i="13"/>
  <c r="AZ29" i="13" s="1"/>
  <c r="BD29" i="13" s="1"/>
  <c r="AX29" i="13"/>
  <c r="AY28" i="13"/>
  <c r="AX28" i="13"/>
  <c r="AY27" i="13"/>
  <c r="AX27" i="13"/>
  <c r="Q27" i="13"/>
  <c r="A24" i="13"/>
  <c r="A27" i="13" s="1"/>
  <c r="A28" i="13" s="1"/>
  <c r="A29" i="13" s="1"/>
  <c r="A30" i="13" s="1"/>
  <c r="A31" i="13" s="1"/>
  <c r="A32" i="13" s="1"/>
  <c r="A33" i="13" s="1"/>
  <c r="A22" i="13"/>
  <c r="BD34" i="39"/>
  <c r="AZ34" i="39"/>
  <c r="AY34" i="39"/>
  <c r="AX34" i="39"/>
  <c r="S34" i="39"/>
  <c r="AY33" i="39"/>
  <c r="AX33" i="39"/>
  <c r="AY32" i="39"/>
  <c r="AX32" i="39"/>
  <c r="AZ32" i="39" s="1"/>
  <c r="BD32" i="39" s="1"/>
  <c r="AY31" i="39"/>
  <c r="AX31" i="39"/>
  <c r="AY30" i="39"/>
  <c r="AX30" i="39"/>
  <c r="AY29" i="39"/>
  <c r="AX29" i="39"/>
  <c r="AY28" i="39"/>
  <c r="AX28" i="39"/>
  <c r="AZ28" i="39" s="1"/>
  <c r="BD28" i="39" s="1"/>
  <c r="AY27" i="39"/>
  <c r="AX27" i="39"/>
  <c r="Q27" i="39"/>
  <c r="A22" i="39"/>
  <c r="A24" i="39" s="1"/>
  <c r="A27" i="39" s="1"/>
  <c r="A28" i="39" s="1"/>
  <c r="A29" i="39" s="1"/>
  <c r="A30" i="39" s="1"/>
  <c r="A31" i="39" s="1"/>
  <c r="A32" i="39" s="1"/>
  <c r="A33" i="39" s="1"/>
  <c r="A34" i="39" s="1"/>
  <c r="BD34" i="12"/>
  <c r="AZ34" i="12"/>
  <c r="AY34" i="12"/>
  <c r="AX34" i="12"/>
  <c r="S34" i="12"/>
  <c r="AY33" i="12"/>
  <c r="AX33" i="12"/>
  <c r="AY32" i="12"/>
  <c r="AX32" i="12"/>
  <c r="AY31" i="12"/>
  <c r="AX31" i="12"/>
  <c r="AY30" i="12"/>
  <c r="AX30" i="12"/>
  <c r="AZ30" i="12" s="1"/>
  <c r="BD30" i="12" s="1"/>
  <c r="AY29" i="12"/>
  <c r="AX29" i="12"/>
  <c r="AY28" i="12"/>
  <c r="AX28" i="12"/>
  <c r="AY27" i="12"/>
  <c r="AX27" i="12"/>
  <c r="AZ27" i="12" s="1"/>
  <c r="BD27" i="12" s="1"/>
  <c r="Q27" i="12"/>
  <c r="A22" i="12"/>
  <c r="A24" i="12" s="1"/>
  <c r="A27" i="12" s="1"/>
  <c r="A28" i="12" s="1"/>
  <c r="A29" i="12" s="1"/>
  <c r="A30" i="12" s="1"/>
  <c r="A31" i="12" s="1"/>
  <c r="A32" i="12" s="1"/>
  <c r="A33" i="12" s="1"/>
  <c r="A34" i="12" s="1"/>
  <c r="BD34" i="11"/>
  <c r="AZ34" i="11"/>
  <c r="AY34" i="11"/>
  <c r="AX34" i="11"/>
  <c r="S34" i="11"/>
  <c r="AY33" i="11"/>
  <c r="AX33" i="11"/>
  <c r="AY32" i="11"/>
  <c r="AX32" i="11"/>
  <c r="AY31" i="11"/>
  <c r="AX31" i="11"/>
  <c r="AY30" i="11"/>
  <c r="AZ30" i="11" s="1"/>
  <c r="BD30" i="11" s="1"/>
  <c r="AX30" i="11"/>
  <c r="AY29" i="11"/>
  <c r="AX29" i="11"/>
  <c r="AY28" i="11"/>
  <c r="AZ28" i="11" s="1"/>
  <c r="BD28" i="11" s="1"/>
  <c r="AX28" i="11"/>
  <c r="AY27" i="11"/>
  <c r="AX27" i="11"/>
  <c r="Q27" i="11"/>
  <c r="A22" i="11"/>
  <c r="A24" i="11" s="1"/>
  <c r="A27" i="11" s="1"/>
  <c r="A28" i="11" s="1"/>
  <c r="A29" i="11" s="1"/>
  <c r="A30" i="11" s="1"/>
  <c r="A31" i="11" s="1"/>
  <c r="A32" i="11" s="1"/>
  <c r="A33" i="11" s="1"/>
  <c r="A34" i="11" s="1"/>
  <c r="BD34" i="4"/>
  <c r="AZ34" i="4"/>
  <c r="AY34" i="4"/>
  <c r="AX34" i="4"/>
  <c r="S34" i="4"/>
  <c r="AY33" i="4"/>
  <c r="AX33" i="4"/>
  <c r="AZ33" i="4" s="1"/>
  <c r="BD33" i="4" s="1"/>
  <c r="AY32" i="4"/>
  <c r="AX32" i="4"/>
  <c r="AZ32" i="4" s="1"/>
  <c r="BD32" i="4" s="1"/>
  <c r="AY31" i="4"/>
  <c r="AX31" i="4"/>
  <c r="AZ31" i="4" s="1"/>
  <c r="BD31" i="4" s="1"/>
  <c r="AY30" i="4"/>
  <c r="AX30" i="4"/>
  <c r="AY29" i="4"/>
  <c r="AX29" i="4"/>
  <c r="AY28" i="4"/>
  <c r="AX28" i="4"/>
  <c r="AZ28" i="4" s="1"/>
  <c r="BD28" i="4" s="1"/>
  <c r="AY27" i="4"/>
  <c r="AX27" i="4"/>
  <c r="Q27" i="4"/>
  <c r="A22" i="4"/>
  <c r="A24" i="4" s="1"/>
  <c r="A27" i="4" s="1"/>
  <c r="A28" i="4" s="1"/>
  <c r="A29" i="4" s="1"/>
  <c r="A30" i="4" s="1"/>
  <c r="A31" i="4" s="1"/>
  <c r="A32" i="4" s="1"/>
  <c r="A33" i="4" s="1"/>
  <c r="A34" i="4" s="1"/>
  <c r="BD34" i="38"/>
  <c r="AZ34" i="38"/>
  <c r="AY34" i="38"/>
  <c r="AX34" i="38"/>
  <c r="S34" i="38"/>
  <c r="AY33" i="38"/>
  <c r="AX33" i="38"/>
  <c r="AY32" i="38"/>
  <c r="AX32" i="38"/>
  <c r="AY31" i="38"/>
  <c r="AX31" i="38"/>
  <c r="AY30" i="38"/>
  <c r="AX30" i="38"/>
  <c r="AY29" i="38"/>
  <c r="AX29" i="38"/>
  <c r="AY28" i="38"/>
  <c r="AZ28" i="38" s="1"/>
  <c r="BD28" i="38" s="1"/>
  <c r="AX28" i="38"/>
  <c r="AY27" i="38"/>
  <c r="AZ27" i="38" s="1"/>
  <c r="BD27" i="38" s="1"/>
  <c r="AX27" i="38"/>
  <c r="Q27" i="38"/>
  <c r="A22" i="38"/>
  <c r="A24" i="38" s="1"/>
  <c r="A27" i="38" s="1"/>
  <c r="A28" i="38" s="1"/>
  <c r="A29" i="38" s="1"/>
  <c r="A30" i="38" s="1"/>
  <c r="A31" i="38" s="1"/>
  <c r="A32" i="38" s="1"/>
  <c r="A33" i="38" s="1"/>
  <c r="A34" i="38" s="1"/>
  <c r="BD34" i="37"/>
  <c r="AZ34" i="37"/>
  <c r="AY34" i="37"/>
  <c r="AX34" i="37"/>
  <c r="S34" i="37"/>
  <c r="AY33" i="37"/>
  <c r="AX33" i="37"/>
  <c r="AY32" i="37"/>
  <c r="AX32" i="37"/>
  <c r="AY31" i="37"/>
  <c r="AX31" i="37"/>
  <c r="AZ31" i="37" s="1"/>
  <c r="BD31" i="37" s="1"/>
  <c r="AY30" i="37"/>
  <c r="AX30" i="37"/>
  <c r="AY29" i="37"/>
  <c r="AX29" i="37"/>
  <c r="AY28" i="37"/>
  <c r="AX28" i="37"/>
  <c r="AZ28" i="37" s="1"/>
  <c r="BD28" i="37" s="1"/>
  <c r="AY27" i="37"/>
  <c r="AZ27" i="37" s="1"/>
  <c r="BD27" i="37" s="1"/>
  <c r="AX27" i="37"/>
  <c r="Q27" i="37"/>
  <c r="A22" i="37"/>
  <c r="A24" i="37" s="1"/>
  <c r="A27" i="37" s="1"/>
  <c r="A28" i="37" s="1"/>
  <c r="A29" i="37" s="1"/>
  <c r="A30" i="37" s="1"/>
  <c r="A31" i="37" s="1"/>
  <c r="A32" i="37" s="1"/>
  <c r="A33" i="37" s="1"/>
  <c r="A34" i="37" s="1"/>
  <c r="BD34" i="36"/>
  <c r="AZ34" i="36"/>
  <c r="AY34" i="36"/>
  <c r="AX34" i="36"/>
  <c r="S34" i="36"/>
  <c r="BD33" i="36"/>
  <c r="AZ33" i="36"/>
  <c r="AY33" i="36"/>
  <c r="AX33" i="36"/>
  <c r="BD32" i="36"/>
  <c r="AZ32" i="36"/>
  <c r="AY32" i="36"/>
  <c r="AX32" i="36"/>
  <c r="AY31" i="36"/>
  <c r="AZ31" i="36" s="1"/>
  <c r="BD31" i="36" s="1"/>
  <c r="AX31" i="36"/>
  <c r="AY30" i="36"/>
  <c r="AZ30" i="36" s="1"/>
  <c r="BD30" i="36" s="1"/>
  <c r="AX30" i="36"/>
  <c r="AY29" i="36"/>
  <c r="AX29" i="36"/>
  <c r="AY28" i="36"/>
  <c r="AZ28" i="36" s="1"/>
  <c r="BD28" i="36" s="1"/>
  <c r="AX28" i="36"/>
  <c r="AY27" i="36"/>
  <c r="AX27" i="36"/>
  <c r="Q27" i="36"/>
  <c r="A22" i="36"/>
  <c r="A24" i="36" s="1"/>
  <c r="A27" i="36" s="1"/>
  <c r="A28" i="36" s="1"/>
  <c r="A29" i="36" s="1"/>
  <c r="A30" i="36" s="1"/>
  <c r="A31" i="36" s="1"/>
  <c r="A32" i="36" s="1"/>
  <c r="A33" i="36" s="1"/>
  <c r="A34" i="36" s="1"/>
  <c r="BD34" i="35"/>
  <c r="AZ34" i="35"/>
  <c r="AY34" i="35"/>
  <c r="AX34" i="35"/>
  <c r="S34" i="35"/>
  <c r="BD33" i="35"/>
  <c r="AZ33" i="35"/>
  <c r="AY33" i="35"/>
  <c r="AX33" i="35"/>
  <c r="BD32" i="35"/>
  <c r="AZ32" i="35"/>
  <c r="AY32" i="35"/>
  <c r="AX32" i="35"/>
  <c r="AY31" i="35"/>
  <c r="AX31" i="35"/>
  <c r="AY30" i="35"/>
  <c r="AX30" i="35"/>
  <c r="AY29" i="35"/>
  <c r="AX29" i="35"/>
  <c r="AY28" i="35"/>
  <c r="AX28" i="35"/>
  <c r="AZ28" i="35" s="1"/>
  <c r="BD28" i="35" s="1"/>
  <c r="AY27" i="35"/>
  <c r="AX27" i="35"/>
  <c r="Q27" i="35"/>
  <c r="A22" i="35"/>
  <c r="A24" i="35" s="1"/>
  <c r="A27" i="35" s="1"/>
  <c r="A28" i="35" s="1"/>
  <c r="A29" i="35" s="1"/>
  <c r="A30" i="35" s="1"/>
  <c r="A31" i="35" s="1"/>
  <c r="A32" i="35" s="1"/>
  <c r="A33" i="35" s="1"/>
  <c r="A34" i="35" s="1"/>
  <c r="BD34" i="34"/>
  <c r="AZ34" i="34"/>
  <c r="AY34" i="34"/>
  <c r="AX34" i="34"/>
  <c r="S34" i="34"/>
  <c r="AY33" i="34"/>
  <c r="AZ33" i="34" s="1"/>
  <c r="BD33" i="34" s="1"/>
  <c r="AX33" i="34"/>
  <c r="AY32" i="34"/>
  <c r="AX32" i="34"/>
  <c r="AY31" i="34"/>
  <c r="AX31" i="34"/>
  <c r="AY30" i="34"/>
  <c r="AX30" i="34"/>
  <c r="AY29" i="34"/>
  <c r="AX29" i="34"/>
  <c r="AY28" i="34"/>
  <c r="AZ28" i="34" s="1"/>
  <c r="BD28" i="34" s="1"/>
  <c r="AX28" i="34"/>
  <c r="AY27" i="34"/>
  <c r="AX27" i="34"/>
  <c r="AZ27" i="34" s="1"/>
  <c r="BD27" i="34" s="1"/>
  <c r="Q27" i="34"/>
  <c r="A22" i="34"/>
  <c r="A24" i="34" s="1"/>
  <c r="A27" i="34" s="1"/>
  <c r="A28" i="34" s="1"/>
  <c r="A29" i="34" s="1"/>
  <c r="A30" i="34" s="1"/>
  <c r="A31" i="34" s="1"/>
  <c r="A32" i="34" s="1"/>
  <c r="A33" i="34" s="1"/>
  <c r="A34" i="34" s="1"/>
  <c r="BD34" i="33"/>
  <c r="AZ34" i="33"/>
  <c r="AY34" i="33"/>
  <c r="AX34" i="33"/>
  <c r="S34" i="33"/>
  <c r="AY33" i="33"/>
  <c r="AX33" i="33"/>
  <c r="AY32" i="33"/>
  <c r="AX32" i="33"/>
  <c r="AY31" i="33"/>
  <c r="AX31" i="33"/>
  <c r="AY30" i="33"/>
  <c r="AX30" i="33"/>
  <c r="AZ30" i="33" s="1"/>
  <c r="BD30" i="33" s="1"/>
  <c r="AY29" i="33"/>
  <c r="AX29" i="33"/>
  <c r="AZ29" i="33" s="1"/>
  <c r="BD29" i="33" s="1"/>
  <c r="AY28" i="33"/>
  <c r="AX28" i="33"/>
  <c r="AY27" i="33"/>
  <c r="AX27" i="33"/>
  <c r="Q27" i="33"/>
  <c r="A22" i="33"/>
  <c r="A24" i="33" s="1"/>
  <c r="A27" i="33" s="1"/>
  <c r="A28" i="33" s="1"/>
  <c r="A29" i="33" s="1"/>
  <c r="A30" i="33" s="1"/>
  <c r="A31" i="33" s="1"/>
  <c r="A32" i="33" s="1"/>
  <c r="A33" i="33" s="1"/>
  <c r="A34" i="33" s="1"/>
  <c r="BD34" i="28"/>
  <c r="AZ34" i="28"/>
  <c r="AY34" i="28"/>
  <c r="AX34" i="28"/>
  <c r="S34" i="28"/>
  <c r="AY33" i="28"/>
  <c r="AX33" i="28"/>
  <c r="AZ33" i="28" s="1"/>
  <c r="BD33" i="28" s="1"/>
  <c r="AY32" i="28"/>
  <c r="AZ32" i="28" s="1"/>
  <c r="BD32" i="28" s="1"/>
  <c r="AX32" i="28"/>
  <c r="AY31" i="28"/>
  <c r="AX31" i="28"/>
  <c r="AY30" i="28"/>
  <c r="AZ30" i="28" s="1"/>
  <c r="BD30" i="28" s="1"/>
  <c r="AX30" i="28"/>
  <c r="AY29" i="28"/>
  <c r="AZ29" i="28" s="1"/>
  <c r="BD29" i="28" s="1"/>
  <c r="AX29" i="28"/>
  <c r="AY28" i="28"/>
  <c r="AZ28" i="28" s="1"/>
  <c r="BD28" i="28" s="1"/>
  <c r="AX28" i="28"/>
  <c r="AY27" i="28"/>
  <c r="AZ27" i="28" s="1"/>
  <c r="BD27" i="28" s="1"/>
  <c r="Q27" i="28"/>
  <c r="A22" i="28"/>
  <c r="A24" i="28" s="1"/>
  <c r="A27" i="28" s="1"/>
  <c r="A28" i="28" s="1"/>
  <c r="A29" i="28" s="1"/>
  <c r="A30" i="28" s="1"/>
  <c r="A31" i="28" s="1"/>
  <c r="A32" i="28" s="1"/>
  <c r="A33" i="28" s="1"/>
  <c r="A34" i="28" s="1"/>
  <c r="BD34" i="31"/>
  <c r="AZ34" i="31"/>
  <c r="AY34" i="31"/>
  <c r="AX34" i="31"/>
  <c r="S34" i="31"/>
  <c r="BD33" i="31"/>
  <c r="AZ33" i="31"/>
  <c r="AY33" i="31"/>
  <c r="AX33" i="31"/>
  <c r="BD32" i="31"/>
  <c r="AZ32" i="31"/>
  <c r="AY32" i="31"/>
  <c r="AX32" i="31"/>
  <c r="BD31" i="31"/>
  <c r="AZ31" i="31"/>
  <c r="AY31" i="31"/>
  <c r="AX31" i="31"/>
  <c r="BD30" i="31"/>
  <c r="AZ30" i="31"/>
  <c r="AY30" i="31"/>
  <c r="AX30" i="31"/>
  <c r="BD29" i="31"/>
  <c r="AZ29" i="31"/>
  <c r="AY29" i="31"/>
  <c r="AX29" i="31"/>
  <c r="BD28" i="31"/>
  <c r="AZ28" i="31"/>
  <c r="AY28" i="31"/>
  <c r="AX28" i="31"/>
  <c r="BD27" i="31"/>
  <c r="AZ27" i="31"/>
  <c r="AY27" i="31"/>
  <c r="AX27" i="31"/>
  <c r="Q27" i="31"/>
  <c r="A22" i="31"/>
  <c r="A24" i="31" s="1"/>
  <c r="A27" i="31" s="1"/>
  <c r="A28" i="31" s="1"/>
  <c r="A29" i="31" s="1"/>
  <c r="A30" i="31" s="1"/>
  <c r="A31" i="31" s="1"/>
  <c r="A32" i="31" s="1"/>
  <c r="A33" i="31" s="1"/>
  <c r="A34" i="31" s="1"/>
  <c r="AZ33" i="49" l="1"/>
  <c r="BD33" i="49" s="1"/>
  <c r="AZ32" i="49"/>
  <c r="BD32" i="49" s="1"/>
  <c r="AZ32" i="23"/>
  <c r="BD32" i="23" s="1"/>
  <c r="AZ32" i="22"/>
  <c r="BD32" i="22" s="1"/>
  <c r="AZ33" i="44"/>
  <c r="BD33" i="44" s="1"/>
  <c r="AZ33" i="13"/>
  <c r="BD33" i="13" s="1"/>
  <c r="AZ31" i="49"/>
  <c r="BD31" i="49" s="1"/>
  <c r="AZ31" i="23"/>
  <c r="BD31" i="23" s="1"/>
  <c r="AZ30" i="22"/>
  <c r="BD30" i="22" s="1"/>
  <c r="AZ30" i="23"/>
  <c r="BD30" i="23" s="1"/>
  <c r="AZ30" i="49"/>
  <c r="BD30" i="49" s="1"/>
  <c r="AZ32" i="45"/>
  <c r="BD32" i="45" s="1"/>
  <c r="AZ32" i="43"/>
  <c r="BD32" i="43" s="1"/>
  <c r="AZ32" i="42"/>
  <c r="BD32" i="42" s="1"/>
  <c r="AZ32" i="41"/>
  <c r="BD32" i="41" s="1"/>
  <c r="AZ32" i="13"/>
  <c r="BD32" i="13" s="1"/>
  <c r="AZ33" i="39"/>
  <c r="BD33" i="39" s="1"/>
  <c r="AZ33" i="12"/>
  <c r="BD33" i="12" s="1"/>
  <c r="AZ33" i="11"/>
  <c r="BD33" i="11" s="1"/>
  <c r="AZ33" i="38"/>
  <c r="BD33" i="38" s="1"/>
  <c r="AZ33" i="37"/>
  <c r="BD33" i="37" s="1"/>
  <c r="AZ33" i="33"/>
  <c r="BD33" i="33" s="1"/>
  <c r="AZ30" i="44"/>
  <c r="BD30" i="44" s="1"/>
  <c r="AZ32" i="12"/>
  <c r="BD32" i="12" s="1"/>
  <c r="AZ32" i="11"/>
  <c r="BD32" i="11" s="1"/>
  <c r="AZ32" i="38"/>
  <c r="BD32" i="38" s="1"/>
  <c r="AZ32" i="37"/>
  <c r="BD32" i="37" s="1"/>
  <c r="AZ32" i="34"/>
  <c r="BD32" i="34" s="1"/>
  <c r="AZ32" i="33"/>
  <c r="BD32" i="33" s="1"/>
  <c r="AZ29" i="49"/>
  <c r="BD29" i="49" s="1"/>
  <c r="AZ30" i="42"/>
  <c r="BD30" i="42" s="1"/>
  <c r="AZ31" i="39"/>
  <c r="BD31" i="39" s="1"/>
  <c r="AZ31" i="11"/>
  <c r="BD31" i="11" s="1"/>
  <c r="AZ31" i="38"/>
  <c r="BD31" i="38" s="1"/>
  <c r="AZ31" i="35"/>
  <c r="BD31" i="35" s="1"/>
  <c r="AZ31" i="34"/>
  <c r="BD31" i="34" s="1"/>
  <c r="AZ31" i="33"/>
  <c r="BD31" i="33" s="1"/>
  <c r="AZ31" i="28"/>
  <c r="BD31" i="28" s="1"/>
  <c r="AZ31" i="12"/>
  <c r="BD31" i="12" s="1"/>
  <c r="AZ27" i="49"/>
  <c r="BD27" i="49" s="1"/>
  <c r="AZ28" i="44"/>
  <c r="BD28" i="44" s="1"/>
  <c r="AZ29" i="45"/>
  <c r="BD29" i="45" s="1"/>
  <c r="AZ29" i="43"/>
  <c r="BD29" i="43" s="1"/>
  <c r="AZ29" i="42"/>
  <c r="BD29" i="42" s="1"/>
  <c r="AZ29" i="41"/>
  <c r="BD29" i="41" s="1"/>
  <c r="AZ30" i="39"/>
  <c r="BD30" i="39" s="1"/>
  <c r="AZ30" i="4"/>
  <c r="BD30" i="4" s="1"/>
  <c r="AZ30" i="38"/>
  <c r="BD30" i="38" s="1"/>
  <c r="AZ30" i="37"/>
  <c r="BD30" i="37" s="1"/>
  <c r="AZ30" i="35"/>
  <c r="BD30" i="35" s="1"/>
  <c r="AZ30" i="34"/>
  <c r="BD30" i="34" s="1"/>
  <c r="AZ27" i="44"/>
  <c r="BD27" i="44" s="1"/>
  <c r="AZ28" i="42"/>
  <c r="BD28" i="42" s="1"/>
  <c r="AZ28" i="13"/>
  <c r="BD28" i="13" s="1"/>
  <c r="AZ29" i="39"/>
  <c r="BD29" i="39" s="1"/>
  <c r="AZ29" i="12"/>
  <c r="BD29" i="12" s="1"/>
  <c r="AZ29" i="11"/>
  <c r="BD29" i="11" s="1"/>
  <c r="AZ29" i="4"/>
  <c r="BD29" i="4" s="1"/>
  <c r="AZ29" i="38"/>
  <c r="BD29" i="38" s="1"/>
  <c r="AZ29" i="37"/>
  <c r="BD29" i="37" s="1"/>
  <c r="AZ29" i="36"/>
  <c r="BD29" i="36" s="1"/>
  <c r="AZ29" i="35"/>
  <c r="BD29" i="35" s="1"/>
  <c r="AZ29" i="34"/>
  <c r="BD29" i="34" s="1"/>
  <c r="AZ27" i="45"/>
  <c r="BD27" i="45" s="1"/>
  <c r="AZ27" i="43"/>
  <c r="BD27" i="43" s="1"/>
  <c r="AZ27" i="41"/>
  <c r="BD27" i="41" s="1"/>
  <c r="AZ27" i="13"/>
  <c r="BD27" i="13" s="1"/>
  <c r="AZ28" i="12"/>
  <c r="BD28" i="12" s="1"/>
  <c r="AZ28" i="33"/>
  <c r="BD28" i="33" s="1"/>
  <c r="AZ27" i="39"/>
  <c r="BD27" i="39" s="1"/>
  <c r="AZ27" i="11"/>
  <c r="BD27" i="11" s="1"/>
  <c r="AZ27" i="4"/>
  <c r="BD27" i="4" s="1"/>
  <c r="AZ27" i="36"/>
  <c r="BD27" i="36" s="1"/>
  <c r="AZ27" i="35"/>
  <c r="BD27" i="35" s="1"/>
  <c r="AZ27" i="33"/>
  <c r="BD27" i="33" s="1"/>
  <c r="Q27" i="21"/>
  <c r="L22" i="26" l="1"/>
  <c r="AY33" i="40" l="1"/>
  <c r="AX33" i="40"/>
  <c r="S33" i="40"/>
  <c r="AY32" i="40"/>
  <c r="AX32" i="40"/>
  <c r="AY31" i="40"/>
  <c r="AX31" i="40"/>
  <c r="AY30" i="40"/>
  <c r="AX30" i="40"/>
  <c r="AY29" i="40"/>
  <c r="AZ29" i="40" s="1"/>
  <c r="BD29" i="40" s="1"/>
  <c r="AX29" i="40"/>
  <c r="AY28" i="40"/>
  <c r="AX28" i="40"/>
  <c r="AY27" i="40"/>
  <c r="AX27" i="40"/>
  <c r="Q27" i="40"/>
  <c r="A22" i="40"/>
  <c r="A24" i="40" s="1"/>
  <c r="A27" i="40" s="1"/>
  <c r="A28" i="40" s="1"/>
  <c r="A29" i="40" s="1"/>
  <c r="A30" i="40" s="1"/>
  <c r="A31" i="40" s="1"/>
  <c r="A32" i="40" s="1"/>
  <c r="A33" i="40" s="1"/>
  <c r="AZ32" i="40" l="1"/>
  <c r="BD32" i="40" s="1"/>
  <c r="AZ30" i="40"/>
  <c r="BD30" i="40" s="1"/>
  <c r="AZ28" i="40"/>
  <c r="BD28" i="40" s="1"/>
  <c r="AZ33" i="40"/>
  <c r="BD33" i="40" s="1"/>
  <c r="AZ31" i="40"/>
  <c r="BD31" i="40" s="1"/>
  <c r="AZ27" i="40"/>
  <c r="BD27" i="40" s="1"/>
  <c r="AY34" i="1"/>
  <c r="AX34" i="1"/>
  <c r="S34" i="1"/>
  <c r="T5" i="26"/>
  <c r="T16" i="26"/>
  <c r="AZ34" i="1" l="1"/>
  <c r="BD34" i="1" s="1"/>
  <c r="AY33" i="21" l="1"/>
  <c r="AX33" i="21"/>
  <c r="S33" i="21"/>
  <c r="AY32" i="21"/>
  <c r="AX32" i="21"/>
  <c r="AY31" i="21"/>
  <c r="AX31" i="21"/>
  <c r="AY30" i="21"/>
  <c r="AX30" i="21"/>
  <c r="AY29" i="21"/>
  <c r="AX29" i="21"/>
  <c r="AY28" i="21"/>
  <c r="AX28" i="21"/>
  <c r="AY27" i="21"/>
  <c r="AX27" i="21"/>
  <c r="A22" i="21"/>
  <c r="A24" i="21" s="1"/>
  <c r="A27" i="21" s="1"/>
  <c r="A28" i="21" s="1"/>
  <c r="A29" i="21" s="1"/>
  <c r="A30" i="21" s="1"/>
  <c r="A31" i="21" s="1"/>
  <c r="A32" i="21" s="1"/>
  <c r="A33" i="21" s="1"/>
  <c r="AZ33" i="21" l="1"/>
  <c r="BD33" i="21" s="1"/>
  <c r="AZ29" i="21"/>
  <c r="BD29" i="21" s="1"/>
  <c r="AZ28" i="21"/>
  <c r="BD28" i="21" s="1"/>
  <c r="AZ32" i="21"/>
  <c r="BD32" i="21" s="1"/>
  <c r="AZ31" i="21"/>
  <c r="BD31" i="21" s="1"/>
  <c r="AZ30" i="21"/>
  <c r="BD30" i="21" s="1"/>
  <c r="AZ27" i="21"/>
  <c r="BD27" i="21" s="1"/>
  <c r="T27" i="26" l="1"/>
  <c r="R27" i="26"/>
  <c r="P27" i="26"/>
  <c r="N27" i="26"/>
  <c r="L27" i="26"/>
  <c r="B27" i="26" l="1"/>
  <c r="T25" i="26" l="1"/>
  <c r="T24" i="26"/>
  <c r="T23" i="26"/>
  <c r="B25" i="26" l="1"/>
  <c r="B24" i="26"/>
  <c r="Q27" i="1" l="1"/>
  <c r="T17" i="26" l="1"/>
  <c r="AX27" i="1" l="1"/>
  <c r="AY27" i="1"/>
  <c r="AX28" i="1"/>
  <c r="AY28" i="1"/>
  <c r="AX29" i="1"/>
  <c r="AY29" i="1"/>
  <c r="AX30" i="1"/>
  <c r="AY30" i="1"/>
  <c r="AX31" i="1"/>
  <c r="AY31" i="1"/>
  <c r="AX32" i="1"/>
  <c r="AY32" i="1"/>
  <c r="AX33" i="1"/>
  <c r="AY33" i="1"/>
  <c r="A22" i="1"/>
  <c r="A24" i="1" s="1"/>
  <c r="A27" i="1" s="1"/>
  <c r="A28" i="1" s="1"/>
  <c r="A29" i="1" s="1"/>
  <c r="A30" i="1" s="1"/>
  <c r="A31" i="1" s="1"/>
  <c r="A32" i="1" s="1"/>
  <c r="A33" i="1" s="1"/>
  <c r="A34" i="1" s="1"/>
  <c r="AZ31" i="1" l="1"/>
  <c r="BD31" i="1" s="1"/>
  <c r="AZ29" i="1"/>
  <c r="BD29" i="1" s="1"/>
  <c r="AZ27" i="1"/>
  <c r="BD27" i="1" s="1"/>
  <c r="AZ33" i="1"/>
  <c r="BD33" i="1" s="1"/>
  <c r="AZ32" i="1"/>
  <c r="BD32" i="1" s="1"/>
  <c r="AZ30" i="1"/>
  <c r="BD30" i="1" s="1"/>
  <c r="AZ28" i="1"/>
  <c r="BD28" i="1" s="1"/>
  <c r="T4" i="26"/>
  <c r="T22" i="26" l="1"/>
  <c r="T21" i="26"/>
  <c r="T20" i="26"/>
  <c r="T19" i="26"/>
  <c r="T18" i="26"/>
  <c r="T15" i="26"/>
  <c r="T11" i="26" l="1"/>
  <c r="T12" i="26"/>
  <c r="T13" i="26"/>
  <c r="T14" i="26"/>
  <c r="T7" i="26"/>
  <c r="T8" i="26"/>
  <c r="T9" i="26"/>
  <c r="T10" i="26"/>
  <c r="T6" i="26"/>
  <c r="B10" i="26" l="1"/>
  <c r="B23" i="26" l="1"/>
  <c r="B22" i="26"/>
  <c r="B21" i="26"/>
  <c r="B20" i="26"/>
  <c r="B19" i="26"/>
  <c r="B18" i="26"/>
  <c r="B17" i="26"/>
  <c r="B16" i="26"/>
  <c r="B15" i="26"/>
  <c r="B14" i="26"/>
  <c r="B13" i="26"/>
  <c r="B12" i="26"/>
  <c r="B11" i="26"/>
  <c r="B9" i="26"/>
  <c r="B8" i="26"/>
  <c r="B7" i="26"/>
  <c r="B6" i="26"/>
  <c r="B5" i="26"/>
  <c r="B4" i="26"/>
  <c r="P18" i="26" l="1"/>
  <c r="L25" i="26" l="1"/>
  <c r="L4" i="26"/>
  <c r="L5" i="26"/>
  <c r="L6" i="26"/>
  <c r="P25" i="26" l="1"/>
  <c r="P24" i="26"/>
  <c r="P23" i="26"/>
  <c r="P22" i="26"/>
  <c r="P21" i="26"/>
  <c r="P20" i="26"/>
  <c r="P19" i="26"/>
  <c r="P17" i="26"/>
  <c r="P16" i="26"/>
  <c r="P15" i="26"/>
  <c r="P14" i="26"/>
  <c r="P13" i="26"/>
  <c r="P12" i="26"/>
  <c r="P11" i="26"/>
  <c r="P10" i="26"/>
  <c r="P9" i="26"/>
  <c r="P8" i="26"/>
  <c r="P7" i="26"/>
  <c r="P6" i="26"/>
  <c r="P5" i="26"/>
  <c r="P4" i="26"/>
  <c r="P28" i="26" l="1"/>
  <c r="N4" i="26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8" i="26" l="1"/>
  <c r="R5" i="26"/>
  <c r="R6" i="26"/>
  <c r="L7" i="26"/>
  <c r="R7" i="26"/>
  <c r="L8" i="26"/>
  <c r="R8" i="26"/>
  <c r="L9" i="26"/>
  <c r="R9" i="26"/>
  <c r="L10" i="26"/>
  <c r="R10" i="26"/>
  <c r="L11" i="26"/>
  <c r="R11" i="26"/>
  <c r="L12" i="26"/>
  <c r="R12" i="26"/>
  <c r="L13" i="26"/>
  <c r="R13" i="26"/>
  <c r="L14" i="26"/>
  <c r="R14" i="26"/>
  <c r="L15" i="26"/>
  <c r="R15" i="26"/>
  <c r="L16" i="26"/>
  <c r="R16" i="26"/>
  <c r="L17" i="26"/>
  <c r="R17" i="26"/>
  <c r="L18" i="26"/>
  <c r="R18" i="26"/>
  <c r="L19" i="26"/>
  <c r="R19" i="26"/>
  <c r="L20" i="26"/>
  <c r="R20" i="26"/>
  <c r="L21" i="26"/>
  <c r="R21" i="26"/>
  <c r="R22" i="26"/>
  <c r="L23" i="26"/>
  <c r="R23" i="26"/>
  <c r="L24" i="26"/>
  <c r="R24" i="26"/>
  <c r="R25" i="26"/>
  <c r="R4" i="26"/>
  <c r="L28" i="26" l="1"/>
</calcChain>
</file>

<file path=xl/sharedStrings.xml><?xml version="1.0" encoding="utf-8"?>
<sst xmlns="http://schemas.openxmlformats.org/spreadsheetml/2006/main" count="5883" uniqueCount="346">
  <si>
    <t>Date</t>
  </si>
  <si>
    <t>Actual temperature</t>
  </si>
  <si>
    <t>pH</t>
  </si>
  <si>
    <t>N5-Z1</t>
  </si>
  <si>
    <t>Z1/Z2</t>
  </si>
  <si>
    <t>Z2/Z3</t>
  </si>
  <si>
    <t>Z3/M1</t>
  </si>
  <si>
    <t>M1/M2</t>
  </si>
  <si>
    <t>M3/M2</t>
  </si>
  <si>
    <t>PL/M3</t>
  </si>
  <si>
    <t>PLPL1</t>
  </si>
  <si>
    <t>PL1-2</t>
  </si>
  <si>
    <t>PL2-3</t>
  </si>
  <si>
    <t>PL3-4</t>
  </si>
  <si>
    <t>PL4-5</t>
  </si>
  <si>
    <t>PL5-6</t>
  </si>
  <si>
    <t>PL6-7</t>
  </si>
  <si>
    <t>PL7-8</t>
  </si>
  <si>
    <t>PL8-9</t>
  </si>
  <si>
    <t>PL9-10</t>
  </si>
  <si>
    <t>PL10-11</t>
  </si>
  <si>
    <t>DATE SPAWN</t>
  </si>
  <si>
    <t>DATE STOCK LARVAE</t>
  </si>
  <si>
    <t>TANK HATCH.</t>
  </si>
  <si>
    <t>TANK MTRSI</t>
  </si>
  <si>
    <t>FEMALE</t>
  </si>
  <si>
    <t>MALE</t>
  </si>
  <si>
    <t>CHOICE</t>
  </si>
  <si>
    <t>LARVAE TANK 1</t>
  </si>
  <si>
    <t>LARVAE TANK 2</t>
  </si>
  <si>
    <t>LARVAE POPULATION</t>
  </si>
  <si>
    <t>EST. Z2</t>
  </si>
  <si>
    <t>EST. SR Z2</t>
  </si>
  <si>
    <t>EST. Z3</t>
  </si>
  <si>
    <t>EST. SR Z3</t>
  </si>
  <si>
    <t>ESTIMATE POPULATION PL4</t>
  </si>
  <si>
    <t>ESTIMATE SR (%)</t>
  </si>
  <si>
    <t>ESTIMATI POPULATION PL10</t>
  </si>
  <si>
    <t>STOCKING DATE</t>
  </si>
  <si>
    <t>STOCKING SIZE (mm)</t>
  </si>
  <si>
    <t>TOTAL STOCKING</t>
  </si>
  <si>
    <t>DATE</t>
  </si>
  <si>
    <t>TIME</t>
  </si>
  <si>
    <t>ABNORMAL</t>
  </si>
  <si>
    <t>MORTALITY</t>
  </si>
  <si>
    <t>NECROSIS</t>
  </si>
  <si>
    <t>FEEDING</t>
  </si>
  <si>
    <t>REMARKS</t>
  </si>
  <si>
    <t>POPULASI</t>
  </si>
  <si>
    <t>KET.</t>
  </si>
  <si>
    <t>am</t>
  </si>
  <si>
    <t>pm</t>
  </si>
  <si>
    <t>TANK 2</t>
  </si>
  <si>
    <t>TANK LT 1</t>
  </si>
  <si>
    <t>TANK LT 2</t>
  </si>
  <si>
    <t>ESTIMASI PL4</t>
  </si>
  <si>
    <t>ESTIMATI SR (%)</t>
  </si>
  <si>
    <t>Estimasi Populasi</t>
  </si>
  <si>
    <t>Estimasi SR (%)</t>
  </si>
  <si>
    <t>Counting person PL10</t>
  </si>
  <si>
    <t>STADIA</t>
  </si>
  <si>
    <t>q</t>
  </si>
  <si>
    <t>c</t>
  </si>
  <si>
    <t xml:space="preserve">  </t>
  </si>
  <si>
    <t>EST. M2</t>
  </si>
  <si>
    <t>gm</t>
  </si>
  <si>
    <t>EST. SR M2</t>
  </si>
  <si>
    <t>PL4</t>
  </si>
  <si>
    <t>PL5</t>
  </si>
  <si>
    <t>PL6</t>
  </si>
  <si>
    <t>PL7</t>
  </si>
  <si>
    <t>PL8</t>
  </si>
  <si>
    <t>PL9</t>
  </si>
  <si>
    <t>PL10</t>
  </si>
  <si>
    <t>Tw/Ch</t>
  </si>
  <si>
    <t xml:space="preserve">Sampel </t>
  </si>
  <si>
    <t>AVG</t>
  </si>
  <si>
    <t>SD</t>
  </si>
  <si>
    <t>CV</t>
  </si>
  <si>
    <t>Stadia</t>
  </si>
  <si>
    <t xml:space="preserve"> CV ember expertsea</t>
  </si>
  <si>
    <t xml:space="preserve"> </t>
  </si>
  <si>
    <t>PL11</t>
  </si>
  <si>
    <t>Z1=100%</t>
  </si>
  <si>
    <t>F=100%</t>
  </si>
  <si>
    <t>1ST</t>
  </si>
  <si>
    <t>2ND</t>
  </si>
  <si>
    <t>PINK6</t>
  </si>
  <si>
    <t>PINK5</t>
  </si>
  <si>
    <t>YELLOW5</t>
  </si>
  <si>
    <t>GREEN5</t>
  </si>
  <si>
    <t>WHITE6</t>
  </si>
  <si>
    <t>BLUE5</t>
  </si>
  <si>
    <t>DZ</t>
  </si>
  <si>
    <t>N5=12%, Z1=88%</t>
  </si>
  <si>
    <t>0=3%</t>
  </si>
  <si>
    <t>RED5</t>
  </si>
  <si>
    <t>GREEN6</t>
  </si>
  <si>
    <t>25/20</t>
  </si>
  <si>
    <t>28/20</t>
  </si>
  <si>
    <t>25/18</t>
  </si>
  <si>
    <t>23/15</t>
  </si>
  <si>
    <t>27/20</t>
  </si>
  <si>
    <t>0=6%</t>
  </si>
  <si>
    <t>23/20</t>
  </si>
  <si>
    <t>38/27</t>
  </si>
  <si>
    <t>TABLE STOCKING LARVAE BATCH A  LINE4 GEN10, MAY 2026</t>
  </si>
  <si>
    <t>GREEN5 9</t>
  </si>
  <si>
    <t>PURPLE5 19</t>
  </si>
  <si>
    <t>GREEN5 54</t>
  </si>
  <si>
    <t>RED4 55</t>
  </si>
  <si>
    <t>RED5 80</t>
  </si>
  <si>
    <t>GREEN6 183</t>
  </si>
  <si>
    <t>BLUE6 190</t>
  </si>
  <si>
    <t>PURPLE6 24</t>
  </si>
  <si>
    <t>PINK6 74</t>
  </si>
  <si>
    <t>RED4 38</t>
  </si>
  <si>
    <t>BLACK6 137</t>
  </si>
  <si>
    <t>RED4</t>
  </si>
  <si>
    <t>BLACK5 164</t>
  </si>
  <si>
    <t>BLUE5 12</t>
  </si>
  <si>
    <t>PINK6 150</t>
  </si>
  <si>
    <t>PINK5 1</t>
  </si>
  <si>
    <t>YELLOW6 57</t>
  </si>
  <si>
    <t>WHITE5</t>
  </si>
  <si>
    <t>YELLOW5 49</t>
  </si>
  <si>
    <t>YELLOW6 132</t>
  </si>
  <si>
    <t>BLACK6</t>
  </si>
  <si>
    <t>WHITE6 68</t>
  </si>
  <si>
    <t>egg&gt;</t>
  </si>
  <si>
    <t>27/18</t>
  </si>
  <si>
    <t>35/28</t>
  </si>
  <si>
    <t>40/32</t>
  </si>
  <si>
    <t>33/18</t>
  </si>
  <si>
    <t>37/26</t>
  </si>
  <si>
    <t>20/17</t>
  </si>
  <si>
    <t>22/20</t>
  </si>
  <si>
    <t>18/17</t>
  </si>
  <si>
    <t>15/19</t>
  </si>
  <si>
    <t>18/13</t>
  </si>
  <si>
    <t>abn</t>
  </si>
  <si>
    <t>22/15</t>
  </si>
  <si>
    <t>30/18</t>
  </si>
  <si>
    <t>33/17</t>
  </si>
  <si>
    <t>35/20</t>
  </si>
  <si>
    <t>30/20</t>
  </si>
  <si>
    <t>32/18</t>
  </si>
  <si>
    <t>29/23</t>
  </si>
  <si>
    <t>35/18</t>
  </si>
  <si>
    <t>32/27</t>
  </si>
  <si>
    <t>27/21</t>
  </si>
  <si>
    <t>38/20</t>
  </si>
  <si>
    <t>28/15</t>
  </si>
  <si>
    <t>28/17</t>
  </si>
  <si>
    <t>30/28</t>
  </si>
  <si>
    <t>26/15</t>
  </si>
  <si>
    <t>28/13</t>
  </si>
  <si>
    <t>35/21</t>
  </si>
  <si>
    <t>0=18%</t>
  </si>
  <si>
    <t>27/17</t>
  </si>
  <si>
    <t>0=21%</t>
  </si>
  <si>
    <t>30/17</t>
  </si>
  <si>
    <t>0=15%</t>
  </si>
  <si>
    <t>27/13</t>
  </si>
  <si>
    <t>0=9%</t>
  </si>
  <si>
    <t>30/19</t>
  </si>
  <si>
    <t>N5=26%, Z1=74%</t>
  </si>
  <si>
    <t>Z2=100%</t>
  </si>
  <si>
    <t>18/15</t>
  </si>
  <si>
    <t>25/15</t>
  </si>
  <si>
    <t>21/12</t>
  </si>
  <si>
    <t>15/12</t>
  </si>
  <si>
    <t>13/18</t>
  </si>
  <si>
    <t>17/15</t>
  </si>
  <si>
    <t>15/13</t>
  </si>
  <si>
    <t>18/12</t>
  </si>
  <si>
    <t>20/10</t>
  </si>
  <si>
    <t>15/15</t>
  </si>
  <si>
    <t>22/17</t>
  </si>
  <si>
    <t>25/12</t>
  </si>
  <si>
    <t>22/19</t>
  </si>
  <si>
    <t>30/23</t>
  </si>
  <si>
    <t>22/18</t>
  </si>
  <si>
    <t>20/15</t>
  </si>
  <si>
    <t>21/17</t>
  </si>
  <si>
    <t>23/18</t>
  </si>
  <si>
    <t>24/13</t>
  </si>
  <si>
    <t>30/21</t>
  </si>
  <si>
    <t>20/13</t>
  </si>
  <si>
    <t>21/21</t>
  </si>
  <si>
    <t>20/14</t>
  </si>
  <si>
    <t>19/11</t>
  </si>
  <si>
    <t>30/15</t>
  </si>
  <si>
    <t>YELLOW5 25</t>
  </si>
  <si>
    <t>33,,6</t>
  </si>
  <si>
    <t>Z3=100%</t>
  </si>
  <si>
    <t>12/13</t>
  </si>
  <si>
    <t>15/10</t>
  </si>
  <si>
    <t>12/8</t>
  </si>
  <si>
    <t>13/7</t>
  </si>
  <si>
    <t>10/8</t>
  </si>
  <si>
    <t>17/8</t>
  </si>
  <si>
    <t>15/14</t>
  </si>
  <si>
    <t>13/10</t>
  </si>
  <si>
    <t>12/7</t>
  </si>
  <si>
    <t>15/17</t>
  </si>
  <si>
    <t>18/8</t>
  </si>
  <si>
    <t>23/13</t>
  </si>
  <si>
    <t>23/11</t>
  </si>
  <si>
    <t>20/11</t>
  </si>
  <si>
    <t>24/18</t>
  </si>
  <si>
    <t>RES1</t>
  </si>
  <si>
    <t>YELLOW5 29</t>
  </si>
  <si>
    <t>GREEN5 51</t>
  </si>
  <si>
    <t>RED4 176</t>
  </si>
  <si>
    <t>YELLOW5 54</t>
  </si>
  <si>
    <t>PINK5 102</t>
  </si>
  <si>
    <t>PURPLE6</t>
  </si>
  <si>
    <t>RES2</t>
  </si>
  <si>
    <t>YELLOW5 1</t>
  </si>
  <si>
    <t>GREEN5 12</t>
  </si>
  <si>
    <t>BLACK6 87</t>
  </si>
  <si>
    <t>WHITE6 103</t>
  </si>
  <si>
    <t>YELLOW6</t>
  </si>
  <si>
    <t>GREEN6 164</t>
  </si>
  <si>
    <t>PURPLE5</t>
  </si>
  <si>
    <t>PINK6 174</t>
  </si>
  <si>
    <t>BLACK5</t>
  </si>
  <si>
    <t>YELLOW5 4</t>
  </si>
  <si>
    <t>14/18</t>
  </si>
  <si>
    <t>17/10</t>
  </si>
  <si>
    <t>16/8</t>
  </si>
  <si>
    <t>21/13</t>
  </si>
  <si>
    <t>DT</t>
  </si>
  <si>
    <t>27/22</t>
  </si>
  <si>
    <t>30/12</t>
  </si>
  <si>
    <t>27/15</t>
  </si>
  <si>
    <t>20/8</t>
  </si>
  <si>
    <t>15/7</t>
  </si>
  <si>
    <t>14/7</t>
  </si>
  <si>
    <t>37/20</t>
  </si>
  <si>
    <t>38/23</t>
  </si>
  <si>
    <t>N5=30%, Z1=70%</t>
  </si>
  <si>
    <t>N5=40%, Z1=60%</t>
  </si>
  <si>
    <t>M1=100%</t>
  </si>
  <si>
    <t>37/21</t>
  </si>
  <si>
    <t>0/17</t>
  </si>
  <si>
    <t>3/20</t>
  </si>
  <si>
    <t>36/28</t>
  </si>
  <si>
    <t>29/17</t>
  </si>
  <si>
    <t>27/10</t>
  </si>
  <si>
    <t>22/10</t>
  </si>
  <si>
    <t>12/10</t>
  </si>
  <si>
    <t>8/7</t>
  </si>
  <si>
    <t>10/7</t>
  </si>
  <si>
    <t>21/16</t>
  </si>
  <si>
    <t>13/8</t>
  </si>
  <si>
    <t>24/10</t>
  </si>
  <si>
    <t>28/19</t>
  </si>
  <si>
    <t>14/8</t>
  </si>
  <si>
    <t>10/15</t>
  </si>
  <si>
    <t>12/12</t>
  </si>
  <si>
    <t>19/5</t>
  </si>
  <si>
    <t>14/11</t>
  </si>
  <si>
    <t>15/8</t>
  </si>
  <si>
    <t>11/8</t>
  </si>
  <si>
    <t>M2=57%, M3=43%</t>
  </si>
  <si>
    <t>M2=70%, M3=30%</t>
  </si>
  <si>
    <t>M2=24%, M3=76%</t>
  </si>
  <si>
    <t>M2=30%, M3=70%</t>
  </si>
  <si>
    <t>M2=15%, M3=85%</t>
  </si>
  <si>
    <t>M2=82%, M3=18%</t>
  </si>
  <si>
    <t>M2=42%, M3=58%</t>
  </si>
  <si>
    <t>M2=79%, M3=21%</t>
  </si>
  <si>
    <t>M2=88%, M3=21%</t>
  </si>
  <si>
    <t>M2=52%, M3=48%</t>
  </si>
  <si>
    <t>12/11</t>
  </si>
  <si>
    <t>10/10</t>
  </si>
  <si>
    <t>10/19</t>
  </si>
  <si>
    <t>29/15</t>
  </si>
  <si>
    <t>31/17</t>
  </si>
  <si>
    <t>22/13</t>
  </si>
  <si>
    <t>20/18</t>
  </si>
  <si>
    <t>M2=18%, M3=82%</t>
  </si>
  <si>
    <t>M2=9%, M3=91%</t>
  </si>
  <si>
    <t>M2=6%, M3=94%</t>
  </si>
  <si>
    <t>M3=18%, M3=82%</t>
  </si>
  <si>
    <t>M2=12%, M3=88%</t>
  </si>
  <si>
    <t>M2=3%, M3=97%</t>
  </si>
  <si>
    <t>M2=21%, M3=79%</t>
  </si>
  <si>
    <t>8/10</t>
  </si>
  <si>
    <t>12/5</t>
  </si>
  <si>
    <t>13/5</t>
  </si>
  <si>
    <t>13/12</t>
  </si>
  <si>
    <t>M3=30%, PL=70%</t>
  </si>
  <si>
    <t>M3=20%, PL=80%</t>
  </si>
  <si>
    <t>M3=18%, PL=82%</t>
  </si>
  <si>
    <t>M3=21%, PL=79%</t>
  </si>
  <si>
    <t>M3=15%, PL=85%</t>
  </si>
  <si>
    <t>M3=24%, PL=76%</t>
  </si>
  <si>
    <t>M3=12%, PL=88%</t>
  </si>
  <si>
    <t>M3=36%, PL=64%</t>
  </si>
  <si>
    <t>M2=85%, M3=15%</t>
  </si>
  <si>
    <t>M2=64%, M3=36%</t>
  </si>
  <si>
    <t>M2=88%, M3=12%</t>
  </si>
  <si>
    <t>M1=30%, M2=67%, M3=3%</t>
  </si>
  <si>
    <t>10/6</t>
  </si>
  <si>
    <t>20/7</t>
  </si>
  <si>
    <t>M3=3%, PL=97%</t>
  </si>
  <si>
    <t>M3=9%, PL=91%</t>
  </si>
  <si>
    <t>M3=6%, PL=94%</t>
  </si>
  <si>
    <t>M1=27%, M2=70%, M3=3%</t>
  </si>
  <si>
    <t>23/10</t>
  </si>
  <si>
    <t>27/8</t>
  </si>
  <si>
    <t>PL=100%</t>
  </si>
  <si>
    <t>zoo&gt;</t>
  </si>
  <si>
    <t>M3=27%, PL=73%</t>
  </si>
  <si>
    <t>M2=3%, M3=18%, PL=79%</t>
  </si>
  <si>
    <t>M2=3%, M3=85%, PL=12%</t>
  </si>
  <si>
    <t>M2=100%</t>
  </si>
  <si>
    <t>8/8</t>
  </si>
  <si>
    <t>14/6</t>
  </si>
  <si>
    <t>kur</t>
  </si>
  <si>
    <t>kur&amp;can</t>
  </si>
  <si>
    <t>PM</t>
  </si>
  <si>
    <t>M3=85%, PL=15%</t>
  </si>
  <si>
    <t>M3=12%,. PL=88%</t>
  </si>
  <si>
    <t>M3=39, PL=61%</t>
  </si>
  <si>
    <t>M2=97%, M3=3%</t>
  </si>
  <si>
    <t>M2=73%, M3=27%</t>
  </si>
  <si>
    <t>M2=3%, M3=30%, PL=67%</t>
  </si>
  <si>
    <t>M2=3%, M3=27%, PL=70%</t>
  </si>
  <si>
    <t>3,0,6</t>
  </si>
  <si>
    <t>,</t>
  </si>
  <si>
    <t>UNIT B</t>
  </si>
  <si>
    <t>yudi, niki</t>
  </si>
  <si>
    <t>kamto, niki</t>
  </si>
  <si>
    <t>adi, niki</t>
  </si>
  <si>
    <t>pak sardi, aini</t>
  </si>
  <si>
    <t>pak sardi, adi</t>
  </si>
  <si>
    <t>kamto, adi</t>
  </si>
  <si>
    <t>adi, kamto</t>
  </si>
  <si>
    <t>pak sardi, yudi</t>
  </si>
  <si>
    <t>adi</t>
  </si>
  <si>
    <t>adi, aini</t>
  </si>
  <si>
    <t>kamto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</si>
</sst>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[$-409]d\-mmm\-yy;@"/>
    <numFmt numFmtId="166" formatCode="0.0"/>
    <numFmt numFmtId="167" formatCode="[$-421]dd\ mmmm\ yyyy;@"/>
    <numFmt numFmtId="168" formatCode="d\-mmm\-yy;@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20"/>
      <color theme="1"/>
      <name val="Calibri"/>
      <family val="2"/>
      <charset val="1"/>
      <scheme val="minor"/>
    </font>
    <font>
      <b/>
      <sz val="14"/>
      <name val="Arial"/>
      <family val="2"/>
    </font>
    <font>
      <sz val="14"/>
      <color theme="1"/>
      <name val="Calibri"/>
      <family val="2"/>
      <charset val="1"/>
    </font>
    <font>
      <sz val="14"/>
      <name val="Arial"/>
      <family val="2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Calibri"/>
      <family val="2"/>
      <charset val="1"/>
    </font>
    <font>
      <sz val="11"/>
      <color indexed="8"/>
      <name val="Calibri"/>
      <family val="2"/>
      <charset val="1"/>
    </font>
    <font>
      <sz val="12"/>
      <color theme="1"/>
      <name val="Calibri"/>
      <family val="2"/>
      <charset val="1"/>
      <scheme val="minor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20"/>
      <name val="Arial"/>
      <family val="2"/>
    </font>
    <font>
      <sz val="18"/>
      <color theme="1"/>
      <name val="Calibri"/>
      <family val="2"/>
      <scheme val="minor"/>
    </font>
    <font>
      <sz val="20"/>
      <name val="Arial"/>
      <family val="2"/>
    </font>
    <font>
      <b/>
      <sz val="11"/>
      <color theme="0"/>
      <name val="Calibri"/>
      <family val="2"/>
      <scheme val="minor"/>
    </font>
    <font>
      <b/>
      <sz val="10"/>
      <name val="Arial"/>
      <family val="2"/>
      <charset val="1"/>
    </font>
    <font>
      <b/>
      <i/>
      <sz val="10"/>
      <name val="Arial"/>
      <family val="2"/>
      <charset val="1"/>
    </font>
    <font>
      <b/>
      <sz val="8"/>
      <name val="Arial"/>
      <family val="2"/>
      <charset val="1"/>
    </font>
    <font>
      <sz val="10"/>
      <color rgb="FF00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FF"/>
        <bgColor rgb="FFFFFFCC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</borders>
  <cellStyleXfs count="60">
    <xf numFmtId="0" fontId="0" fillId="0" borderId="0"/>
    <xf numFmtId="0" fontId="1" fillId="0" borderId="0"/>
    <xf numFmtId="0" fontId="6" fillId="0" borderId="0"/>
    <xf numFmtId="0" fontId="1" fillId="0" borderId="0"/>
    <xf numFmtId="0" fontId="9" fillId="0" borderId="0"/>
    <xf numFmtId="0" fontId="1" fillId="0" borderId="0"/>
    <xf numFmtId="0" fontId="9" fillId="0" borderId="0"/>
    <xf numFmtId="43" fontId="9" fillId="0" borderId="0" applyFont="0" applyFill="0" applyBorder="0" applyAlignment="0" applyProtection="0"/>
    <xf numFmtId="0" fontId="1" fillId="3" borderId="0" applyNumberFormat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3" fillId="2" borderId="19" applyFont="0" applyBorder="0" applyAlignment="0">
      <alignment horizontal="center" vertical="center"/>
    </xf>
    <xf numFmtId="0" fontId="20" fillId="0" borderId="0"/>
    <xf numFmtId="168" fontId="21" fillId="0" borderId="0" applyBorder="0" applyProtection="0"/>
    <xf numFmtId="41" fontId="20" fillId="0" borderId="0" applyFont="0" applyFill="0" applyBorder="0" applyAlignment="0" applyProtection="0"/>
    <xf numFmtId="0" fontId="6" fillId="0" borderId="0"/>
    <xf numFmtId="9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7">
    <xf numFmtId="0" fontId="0" fillId="0" borderId="0" xfId="0"/>
    <xf numFmtId="0" fontId="8" fillId="0" borderId="0" xfId="2" applyFont="1" applyFill="1" applyBorder="1" applyAlignment="1">
      <alignment horizontal="center"/>
    </xf>
    <xf numFmtId="0" fontId="9" fillId="0" borderId="0" xfId="2" applyFont="1" applyFill="1"/>
    <xf numFmtId="2" fontId="10" fillId="0" borderId="0" xfId="2" applyNumberFormat="1" applyFont="1" applyFill="1"/>
    <xf numFmtId="0" fontId="11" fillId="0" borderId="9" xfId="2" applyFont="1" applyFill="1" applyBorder="1" applyAlignment="1">
      <alignment horizontal="center" vertical="center" wrapText="1"/>
    </xf>
    <xf numFmtId="2" fontId="11" fillId="0" borderId="9" xfId="2" applyNumberFormat="1" applyFont="1" applyFill="1" applyBorder="1" applyAlignment="1">
      <alignment horizontal="center" vertical="center" wrapText="1"/>
    </xf>
    <xf numFmtId="10" fontId="15" fillId="0" borderId="0" xfId="2" applyNumberFormat="1" applyFont="1" applyFill="1"/>
    <xf numFmtId="0" fontId="0" fillId="0" borderId="0" xfId="0" applyFill="1"/>
    <xf numFmtId="0" fontId="12" fillId="0" borderId="0" xfId="0" applyFont="1" applyFill="1" applyAlignment="1">
      <alignment vertical="center" wrapText="1"/>
    </xf>
    <xf numFmtId="0" fontId="16" fillId="0" borderId="0" xfId="3" applyFont="1" applyFill="1"/>
    <xf numFmtId="0" fontId="17" fillId="0" borderId="9" xfId="3" applyFont="1" applyFill="1" applyBorder="1" applyAlignment="1">
      <alignment horizontal="center" vertical="center" wrapText="1"/>
    </xf>
    <xf numFmtId="0" fontId="16" fillId="0" borderId="0" xfId="0" applyFont="1" applyFill="1"/>
    <xf numFmtId="0" fontId="4" fillId="0" borderId="5" xfId="1" applyFont="1" applyFill="1" applyBorder="1" applyAlignment="1">
      <alignment horizontal="center" vertical="center"/>
    </xf>
    <xf numFmtId="20" fontId="3" fillId="0" borderId="5" xfId="1" applyNumberFormat="1" applyFont="1" applyFill="1" applyBorder="1" applyAlignment="1">
      <alignment horizontal="center" vertical="center"/>
    </xf>
    <xf numFmtId="165" fontId="4" fillId="0" borderId="5" xfId="1" applyNumberFormat="1" applyFont="1" applyFill="1" applyBorder="1" applyAlignment="1">
      <alignment horizontal="center" vertical="center"/>
    </xf>
    <xf numFmtId="166" fontId="4" fillId="0" borderId="5" xfId="1" applyNumberFormat="1" applyFont="1" applyFill="1" applyBorder="1" applyAlignment="1">
      <alignment horizontal="center" vertical="center"/>
    </xf>
    <xf numFmtId="0" fontId="5" fillId="0" borderId="5" xfId="1" applyFont="1" applyFill="1" applyBorder="1"/>
    <xf numFmtId="0" fontId="4" fillId="0" borderId="6" xfId="1" applyFont="1" applyFill="1" applyBorder="1" applyAlignment="1">
      <alignment horizontal="center" vertical="center"/>
    </xf>
    <xf numFmtId="166" fontId="4" fillId="0" borderId="6" xfId="1" applyNumberFormat="1" applyFont="1" applyFill="1" applyBorder="1" applyAlignment="1">
      <alignment horizontal="center" vertical="center"/>
    </xf>
    <xf numFmtId="0" fontId="9" fillId="0" borderId="0" xfId="2" applyFont="1" applyFill="1" applyAlignment="1">
      <alignment horizontal="center"/>
    </xf>
    <xf numFmtId="0" fontId="0" fillId="0" borderId="0" xfId="0" applyFill="1" applyAlignment="1">
      <alignment horizontal="center"/>
    </xf>
    <xf numFmtId="10" fontId="9" fillId="0" borderId="0" xfId="2" applyNumberFormat="1" applyFont="1" applyFill="1"/>
    <xf numFmtId="0" fontId="22" fillId="0" borderId="0" xfId="2" applyFont="1" applyFill="1"/>
    <xf numFmtId="0" fontId="23" fillId="0" borderId="9" xfId="2" applyFont="1" applyFill="1" applyBorder="1" applyAlignment="1">
      <alignment horizontal="center" vertical="center" wrapText="1"/>
    </xf>
    <xf numFmtId="0" fontId="24" fillId="0" borderId="0" xfId="0" applyFont="1" applyFill="1"/>
    <xf numFmtId="164" fontId="15" fillId="0" borderId="0" xfId="2" applyNumberFormat="1" applyFont="1" applyFill="1" applyAlignment="1">
      <alignment horizontal="center"/>
    </xf>
    <xf numFmtId="0" fontId="0" fillId="0" borderId="21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wrapText="1"/>
    </xf>
    <xf numFmtId="0" fontId="0" fillId="0" borderId="21" xfId="0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15" fontId="33" fillId="0" borderId="21" xfId="0" applyNumberFormat="1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 wrapText="1"/>
    </xf>
    <xf numFmtId="0" fontId="29" fillId="5" borderId="21" xfId="0" applyFont="1" applyFill="1" applyBorder="1" applyAlignment="1">
      <alignment horizontal="center" vertical="center"/>
    </xf>
    <xf numFmtId="15" fontId="33" fillId="0" borderId="21" xfId="0" applyNumberFormat="1" applyFont="1" applyBorder="1" applyAlignment="1">
      <alignment vertical="center"/>
    </xf>
    <xf numFmtId="0" fontId="0" fillId="0" borderId="21" xfId="0" applyNumberFormat="1" applyBorder="1" applyAlignment="1">
      <alignment horizontal="center" vertical="center"/>
    </xf>
    <xf numFmtId="10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horizontal="center"/>
    </xf>
    <xf numFmtId="2" fontId="0" fillId="6" borderId="21" xfId="0" applyNumberFormat="1" applyFill="1" applyBorder="1" applyAlignment="1">
      <alignment horizontal="center"/>
    </xf>
    <xf numFmtId="166" fontId="0" fillId="6" borderId="21" xfId="0" applyNumberFormat="1" applyFill="1" applyBorder="1" applyAlignment="1">
      <alignment horizontal="center"/>
    </xf>
    <xf numFmtId="165" fontId="0" fillId="0" borderId="21" xfId="0" applyNumberFormat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6" borderId="0" xfId="0" applyNumberFormat="1" applyFill="1" applyAlignment="1">
      <alignment horizontal="center"/>
    </xf>
    <xf numFmtId="0" fontId="4" fillId="7" borderId="2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3" xfId="0" applyFill="1" applyBorder="1" applyAlignment="1">
      <alignment vertical="center"/>
    </xf>
    <xf numFmtId="9" fontId="0" fillId="0" borderId="13" xfId="0" applyNumberFormat="1" applyFill="1" applyBorder="1" applyAlignment="1">
      <alignment horizontal="center" vertical="center"/>
    </xf>
    <xf numFmtId="0" fontId="0" fillId="0" borderId="1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49" fontId="0" fillId="0" borderId="14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9" fontId="0" fillId="0" borderId="13" xfId="0" applyNumberFormat="1" applyFill="1" applyBorder="1" applyAlignment="1">
      <alignment horizontal="center" vertical="center" wrapText="1"/>
    </xf>
    <xf numFmtId="9" fontId="0" fillId="0" borderId="13" xfId="0" applyNumberFormat="1" applyFont="1" applyFill="1" applyBorder="1" applyAlignment="1">
      <alignment horizontal="center" vertical="center"/>
    </xf>
    <xf numFmtId="0" fontId="30" fillId="0" borderId="13" xfId="0" applyFont="1" applyFill="1" applyBorder="1" applyAlignment="1">
      <alignment horizontal="center" vertical="center"/>
    </xf>
    <xf numFmtId="0" fontId="30" fillId="0" borderId="14" xfId="0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center" vertical="center"/>
    </xf>
    <xf numFmtId="0" fontId="30" fillId="0" borderId="16" xfId="0" applyFont="1" applyFill="1" applyBorder="1" applyAlignment="1">
      <alignment horizontal="center" vertical="center"/>
    </xf>
    <xf numFmtId="0" fontId="30" fillId="0" borderId="12" xfId="0" applyFont="1" applyFill="1" applyBorder="1" applyAlignment="1">
      <alignment horizontal="center" vertical="center"/>
    </xf>
    <xf numFmtId="0" fontId="32" fillId="0" borderId="21" xfId="0" applyFont="1" applyFill="1" applyBorder="1" applyAlignment="1">
      <alignment horizontal="center" wrapText="1"/>
    </xf>
    <xf numFmtId="0" fontId="22" fillId="0" borderId="0" xfId="2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15" fontId="11" fillId="0" borderId="21" xfId="11" applyNumberFormat="1" applyFont="1" applyFill="1" applyBorder="1" applyAlignment="1">
      <alignment horizontal="center" vertical="center"/>
    </xf>
    <xf numFmtId="0" fontId="11" fillId="0" borderId="24" xfId="11" applyFont="1" applyFill="1" applyBorder="1" applyAlignment="1">
      <alignment horizontal="center" vertical="center"/>
    </xf>
    <xf numFmtId="0" fontId="11" fillId="0" borderId="24" xfId="11" applyFont="1" applyFill="1" applyBorder="1" applyAlignment="1">
      <alignment horizontal="left" vertical="center"/>
    </xf>
    <xf numFmtId="3" fontId="28" fillId="0" borderId="21" xfId="11" applyNumberFormat="1" applyFont="1" applyFill="1" applyBorder="1" applyAlignment="1">
      <alignment horizontal="center" vertical="center"/>
    </xf>
    <xf numFmtId="10" fontId="13" fillId="0" borderId="9" xfId="2" applyNumberFormat="1" applyFont="1" applyFill="1" applyBorder="1" applyAlignment="1">
      <alignment horizontal="center" vertical="center"/>
    </xf>
    <xf numFmtId="10" fontId="13" fillId="0" borderId="21" xfId="2" applyNumberFormat="1" applyFont="1" applyFill="1" applyBorder="1" applyAlignment="1">
      <alignment horizontal="center" vertical="center"/>
    </xf>
    <xf numFmtId="167" fontId="13" fillId="0" borderId="9" xfId="2" applyNumberFormat="1" applyFont="1" applyFill="1" applyBorder="1" applyAlignment="1">
      <alignment horizontal="center" vertical="center"/>
    </xf>
    <xf numFmtId="10" fontId="2" fillId="0" borderId="0" xfId="0" applyNumberFormat="1" applyFont="1" applyFill="1"/>
    <xf numFmtId="2" fontId="14" fillId="0" borderId="9" xfId="2" applyNumberFormat="1" applyFont="1" applyFill="1" applyBorder="1" applyAlignment="1">
      <alignment horizontal="center" vertical="center"/>
    </xf>
    <xf numFmtId="0" fontId="11" fillId="0" borderId="24" xfId="11" applyFont="1" applyFill="1" applyBorder="1" applyAlignment="1">
      <alignment vertical="center"/>
    </xf>
    <xf numFmtId="0" fontId="30" fillId="0" borderId="14" xfId="0" applyFont="1" applyFill="1" applyBorder="1" applyAlignment="1">
      <alignment horizontal="center" vertical="center"/>
    </xf>
    <xf numFmtId="2" fontId="14" fillId="0" borderId="0" xfId="2" applyNumberFormat="1" applyFont="1" applyFill="1" applyBorder="1" applyAlignment="1">
      <alignment horizontal="center" vertical="center"/>
    </xf>
    <xf numFmtId="15" fontId="8" fillId="0" borderId="9" xfId="3" applyNumberFormat="1" applyFont="1" applyFill="1" applyBorder="1" applyAlignment="1">
      <alignment horizontal="center" vertical="center"/>
    </xf>
    <xf numFmtId="15" fontId="11" fillId="0" borderId="0" xfId="11" applyNumberFormat="1" applyFont="1" applyFill="1" applyBorder="1" applyAlignment="1">
      <alignment horizontal="center" vertical="center"/>
    </xf>
    <xf numFmtId="15" fontId="8" fillId="0" borderId="0" xfId="3" applyNumberFormat="1" applyFont="1" applyFill="1" applyBorder="1" applyAlignment="1">
      <alignment horizontal="center" vertical="center"/>
    </xf>
    <xf numFmtId="0" fontId="11" fillId="0" borderId="0" xfId="11" applyFont="1" applyFill="1" applyBorder="1" applyAlignment="1">
      <alignment horizontal="center" vertical="center"/>
    </xf>
    <xf numFmtId="0" fontId="11" fillId="0" borderId="0" xfId="11" applyFont="1" applyFill="1" applyBorder="1" applyAlignment="1">
      <alignment horizontal="left" vertical="center"/>
    </xf>
    <xf numFmtId="0" fontId="11" fillId="0" borderId="0" xfId="11" applyFont="1" applyFill="1" applyBorder="1" applyAlignment="1">
      <alignment vertical="center"/>
    </xf>
    <xf numFmtId="3" fontId="28" fillId="0" borderId="0" xfId="11" applyNumberFormat="1" applyFont="1" applyFill="1" applyBorder="1" applyAlignment="1">
      <alignment horizontal="center" vertical="center"/>
    </xf>
    <xf numFmtId="3" fontId="26" fillId="0" borderId="0" xfId="2" applyNumberFormat="1" applyFont="1" applyFill="1" applyBorder="1" applyAlignment="1">
      <alignment horizontal="center" vertical="center"/>
    </xf>
    <xf numFmtId="3" fontId="11" fillId="0" borderId="0" xfId="2" applyNumberFormat="1" applyFont="1" applyFill="1" applyBorder="1" applyAlignment="1">
      <alignment horizontal="center" vertical="center"/>
    </xf>
    <xf numFmtId="10" fontId="13" fillId="0" borderId="0" xfId="2" applyNumberFormat="1" applyFont="1" applyFill="1" applyBorder="1" applyAlignment="1">
      <alignment horizontal="center" vertical="center"/>
    </xf>
    <xf numFmtId="3" fontId="13" fillId="0" borderId="0" xfId="2" applyNumberFormat="1" applyFont="1" applyFill="1" applyBorder="1" applyAlignment="1">
      <alignment horizontal="center" vertical="center"/>
    </xf>
    <xf numFmtId="167" fontId="13" fillId="0" borderId="0" xfId="2" applyNumberFormat="1" applyFont="1" applyFill="1" applyBorder="1" applyAlignment="1">
      <alignment horizontal="center" vertical="center"/>
    </xf>
    <xf numFmtId="1" fontId="14" fillId="0" borderId="0" xfId="2" applyNumberFormat="1" applyFont="1" applyFill="1" applyBorder="1" applyAlignment="1">
      <alignment horizontal="center" vertical="center"/>
    </xf>
    <xf numFmtId="3" fontId="14" fillId="0" borderId="0" xfId="4" applyNumberFormat="1" applyFont="1" applyFill="1" applyBorder="1" applyAlignment="1">
      <alignment horizontal="center" vertical="center"/>
    </xf>
    <xf numFmtId="15" fontId="33" fillId="0" borderId="21" xfId="0" applyNumberFormat="1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29" fillId="5" borderId="21" xfId="0" applyFont="1" applyFill="1" applyBorder="1" applyAlignment="1">
      <alignment horizontal="center" vertical="center"/>
    </xf>
    <xf numFmtId="0" fontId="30" fillId="0" borderId="16" xfId="0" applyFont="1" applyFill="1" applyBorder="1" applyAlignment="1">
      <alignment horizontal="center" vertical="center"/>
    </xf>
    <xf numFmtId="0" fontId="13" fillId="0" borderId="21" xfId="2" applyNumberFormat="1" applyFont="1" applyFill="1" applyBorder="1" applyAlignment="1">
      <alignment horizontal="center" vertical="center"/>
    </xf>
    <xf numFmtId="3" fontId="11" fillId="0" borderId="9" xfId="2" applyNumberFormat="1" applyFont="1" applyFill="1" applyBorder="1" applyAlignment="1">
      <alignment horizontal="center" vertical="center"/>
    </xf>
    <xf numFmtId="3" fontId="13" fillId="0" borderId="9" xfId="2" applyNumberFormat="1" applyFont="1" applyFill="1" applyBorder="1" applyAlignment="1">
      <alignment horizontal="center" vertical="center"/>
    </xf>
    <xf numFmtId="3" fontId="11" fillId="0" borderId="24" xfId="2" applyNumberFormat="1" applyFont="1" applyFill="1" applyBorder="1" applyAlignment="1">
      <alignment horizontal="center" vertical="center"/>
    </xf>
    <xf numFmtId="2" fontId="14" fillId="0" borderId="24" xfId="2" applyNumberFormat="1" applyFont="1" applyFill="1" applyBorder="1" applyAlignment="1">
      <alignment horizontal="center" vertical="center"/>
    </xf>
    <xf numFmtId="0" fontId="11" fillId="8" borderId="24" xfId="11" applyFont="1" applyFill="1" applyBorder="1" applyAlignment="1">
      <alignment vertical="center"/>
    </xf>
    <xf numFmtId="0" fontId="11" fillId="8" borderId="24" xfId="11" applyFont="1" applyFill="1" applyBorder="1" applyAlignment="1">
      <alignment horizontal="center" vertical="center"/>
    </xf>
    <xf numFmtId="15" fontId="33" fillId="0" borderId="21" xfId="0" applyNumberFormat="1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29" fillId="5" borderId="21" xfId="0" applyFont="1" applyFill="1" applyBorder="1" applyAlignment="1">
      <alignment horizontal="center" vertical="center"/>
    </xf>
    <xf numFmtId="0" fontId="30" fillId="0" borderId="16" xfId="0" applyFont="1" applyFill="1" applyBorder="1" applyAlignment="1">
      <alignment horizontal="center" vertical="center"/>
    </xf>
    <xf numFmtId="3" fontId="11" fillId="0" borderId="24" xfId="11" applyNumberFormat="1" applyFont="1" applyFill="1" applyBorder="1" applyAlignment="1">
      <alignment horizontal="center" vertical="center"/>
    </xf>
    <xf numFmtId="15" fontId="11" fillId="9" borderId="21" xfId="11" applyNumberFormat="1" applyFont="1" applyFill="1" applyBorder="1" applyAlignment="1">
      <alignment horizontal="center" vertical="center"/>
    </xf>
    <xf numFmtId="0" fontId="11" fillId="9" borderId="24" xfId="11" applyFont="1" applyFill="1" applyBorder="1" applyAlignment="1">
      <alignment horizontal="center" vertical="center"/>
    </xf>
    <xf numFmtId="0" fontId="11" fillId="9" borderId="24" xfId="11" applyFont="1" applyFill="1" applyBorder="1" applyAlignment="1">
      <alignment horizontal="left" vertical="center"/>
    </xf>
    <xf numFmtId="3" fontId="28" fillId="9" borderId="21" xfId="11" applyNumberFormat="1" applyFont="1" applyFill="1" applyBorder="1" applyAlignment="1">
      <alignment horizontal="center" vertical="center"/>
    </xf>
    <xf numFmtId="3" fontId="11" fillId="9" borderId="24" xfId="11" applyNumberFormat="1" applyFont="1" applyFill="1" applyBorder="1" applyAlignment="1">
      <alignment horizontal="center" vertical="center"/>
    </xf>
    <xf numFmtId="10" fontId="13" fillId="9" borderId="9" xfId="2" applyNumberFormat="1" applyFont="1" applyFill="1" applyBorder="1" applyAlignment="1">
      <alignment horizontal="center" vertical="center"/>
    </xf>
    <xf numFmtId="0" fontId="13" fillId="9" borderId="21" xfId="2" applyNumberFormat="1" applyFont="1" applyFill="1" applyBorder="1" applyAlignment="1">
      <alignment horizontal="center" vertical="center"/>
    </xf>
    <xf numFmtId="10" fontId="13" fillId="9" borderId="21" xfId="2" applyNumberFormat="1" applyFont="1" applyFill="1" applyBorder="1" applyAlignment="1">
      <alignment horizontal="center" vertical="center"/>
    </xf>
    <xf numFmtId="3" fontId="11" fillId="9" borderId="9" xfId="2" applyNumberFormat="1" applyFont="1" applyFill="1" applyBorder="1" applyAlignment="1">
      <alignment horizontal="center" vertical="distributed" wrapText="1"/>
    </xf>
    <xf numFmtId="164" fontId="11" fillId="9" borderId="10" xfId="2" applyNumberFormat="1" applyFont="1" applyFill="1" applyBorder="1" applyAlignment="1">
      <alignment horizontal="center" vertical="center"/>
    </xf>
    <xf numFmtId="167" fontId="13" fillId="9" borderId="9" xfId="2" applyNumberFormat="1" applyFont="1" applyFill="1" applyBorder="1" applyAlignment="1">
      <alignment horizontal="center" vertical="center"/>
    </xf>
    <xf numFmtId="0" fontId="14" fillId="9" borderId="9" xfId="4" applyFont="1" applyFill="1" applyBorder="1" applyAlignment="1">
      <alignment horizontal="center" vertical="center"/>
    </xf>
    <xf numFmtId="0" fontId="17" fillId="9" borderId="9" xfId="3" applyFont="1" applyFill="1" applyBorder="1" applyAlignment="1">
      <alignment horizontal="center"/>
    </xf>
    <xf numFmtId="10" fontId="18" fillId="9" borderId="0" xfId="0" applyNumberFormat="1" applyFont="1" applyFill="1"/>
    <xf numFmtId="3" fontId="11" fillId="9" borderId="9" xfId="2" applyNumberFormat="1" applyFont="1" applyFill="1" applyBorder="1" applyAlignment="1">
      <alignment horizontal="center" vertical="center"/>
    </xf>
    <xf numFmtId="0" fontId="1" fillId="9" borderId="0" xfId="0" applyFont="1" applyFill="1"/>
    <xf numFmtId="3" fontId="25" fillId="9" borderId="9" xfId="2" applyNumberFormat="1" applyFont="1" applyFill="1" applyBorder="1" applyAlignment="1">
      <alignment horizontal="center" vertical="center"/>
    </xf>
    <xf numFmtId="0" fontId="18" fillId="9" borderId="0" xfId="0" applyFont="1" applyFill="1"/>
    <xf numFmtId="10" fontId="27" fillId="9" borderId="0" xfId="0" applyNumberFormat="1" applyFont="1" applyFill="1"/>
    <xf numFmtId="0" fontId="30" fillId="0" borderId="16" xfId="0" applyFont="1" applyFill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29" fillId="5" borderId="21" xfId="0" applyFont="1" applyFill="1" applyBorder="1" applyAlignment="1">
      <alignment horizontal="center" vertical="center"/>
    </xf>
    <xf numFmtId="0" fontId="30" fillId="0" borderId="16" xfId="0" applyFont="1" applyFill="1" applyBorder="1" applyAlignment="1">
      <alignment horizontal="center" vertical="center"/>
    </xf>
    <xf numFmtId="15" fontId="33" fillId="0" borderId="21" xfId="0" applyNumberFormat="1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14" fillId="0" borderId="9" xfId="2" applyNumberFormat="1" applyFont="1" applyFill="1" applyBorder="1" applyAlignment="1">
      <alignment horizontal="center" vertical="center"/>
    </xf>
    <xf numFmtId="0" fontId="14" fillId="0" borderId="24" xfId="2" applyNumberFormat="1" applyFont="1" applyFill="1" applyBorder="1" applyAlignment="1">
      <alignment horizontal="center" vertical="center"/>
    </xf>
    <xf numFmtId="0" fontId="30" fillId="0" borderId="16" xfId="0" applyFont="1" applyFill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15" fontId="11" fillId="10" borderId="21" xfId="11" applyNumberFormat="1" applyFont="1" applyFill="1" applyBorder="1" applyAlignment="1">
      <alignment horizontal="center" vertical="center"/>
    </xf>
    <xf numFmtId="0" fontId="11" fillId="10" borderId="24" xfId="11" applyFont="1" applyFill="1" applyBorder="1" applyAlignment="1">
      <alignment horizontal="center" vertical="center"/>
    </xf>
    <xf numFmtId="0" fontId="11" fillId="10" borderId="24" xfId="11" applyFont="1" applyFill="1" applyBorder="1" applyAlignment="1">
      <alignment horizontal="left" vertical="center"/>
    </xf>
    <xf numFmtId="3" fontId="28" fillId="10" borderId="21" xfId="11" applyNumberFormat="1" applyFont="1" applyFill="1" applyBorder="1" applyAlignment="1">
      <alignment horizontal="center" vertical="center"/>
    </xf>
    <xf numFmtId="0" fontId="13" fillId="10" borderId="9" xfId="2" applyFont="1" applyFill="1" applyBorder="1" applyAlignment="1">
      <alignment horizontal="center" vertical="center"/>
    </xf>
    <xf numFmtId="3" fontId="11" fillId="10" borderId="24" xfId="11" applyNumberFormat="1" applyFont="1" applyFill="1" applyBorder="1" applyAlignment="1">
      <alignment horizontal="center" vertical="center"/>
    </xf>
    <xf numFmtId="3" fontId="11" fillId="10" borderId="21" xfId="11" applyNumberFormat="1" applyFont="1" applyFill="1" applyBorder="1" applyAlignment="1">
      <alignment horizontal="center" vertical="center"/>
    </xf>
    <xf numFmtId="10" fontId="13" fillId="10" borderId="9" xfId="2" applyNumberFormat="1" applyFont="1" applyFill="1" applyBorder="1" applyAlignment="1">
      <alignment horizontal="center" vertical="center"/>
    </xf>
    <xf numFmtId="0" fontId="13" fillId="10" borderId="21" xfId="2" applyNumberFormat="1" applyFont="1" applyFill="1" applyBorder="1" applyAlignment="1">
      <alignment horizontal="center" vertical="center"/>
    </xf>
    <xf numFmtId="10" fontId="13" fillId="10" borderId="21" xfId="2" applyNumberFormat="1" applyFont="1" applyFill="1" applyBorder="1" applyAlignment="1">
      <alignment horizontal="center" vertical="center"/>
    </xf>
    <xf numFmtId="3" fontId="11" fillId="10" borderId="9" xfId="2" applyNumberFormat="1" applyFont="1" applyFill="1" applyBorder="1" applyAlignment="1">
      <alignment horizontal="center" vertical="distributed" wrapText="1"/>
    </xf>
    <xf numFmtId="164" fontId="11" fillId="10" borderId="10" xfId="2" applyNumberFormat="1" applyFont="1" applyFill="1" applyBorder="1" applyAlignment="1">
      <alignment horizontal="center" vertical="center"/>
    </xf>
    <xf numFmtId="167" fontId="13" fillId="10" borderId="9" xfId="2" applyNumberFormat="1" applyFont="1" applyFill="1" applyBorder="1" applyAlignment="1">
      <alignment horizontal="center" vertical="center"/>
    </xf>
    <xf numFmtId="0" fontId="14" fillId="10" borderId="9" xfId="4" applyFont="1" applyFill="1" applyBorder="1" applyAlignment="1">
      <alignment horizontal="center" vertical="center"/>
    </xf>
    <xf numFmtId="0" fontId="17" fillId="10" borderId="9" xfId="3" applyFont="1" applyFill="1" applyBorder="1" applyAlignment="1">
      <alignment horizontal="center"/>
    </xf>
    <xf numFmtId="10" fontId="2" fillId="10" borderId="0" xfId="0" applyNumberFormat="1" applyFont="1" applyFill="1"/>
    <xf numFmtId="0" fontId="0" fillId="10" borderId="0" xfId="0" applyFill="1"/>
    <xf numFmtId="0" fontId="18" fillId="10" borderId="0" xfId="0" applyFont="1" applyFill="1"/>
    <xf numFmtId="10" fontId="18" fillId="10" borderId="0" xfId="0" applyNumberFormat="1" applyFont="1" applyFill="1"/>
    <xf numFmtId="0" fontId="17" fillId="10" borderId="9" xfId="4" applyFont="1" applyFill="1" applyBorder="1" applyAlignment="1">
      <alignment horizontal="center" vertical="center"/>
    </xf>
    <xf numFmtId="0" fontId="19" fillId="10" borderId="9" xfId="2" applyFont="1" applyFill="1" applyBorder="1" applyAlignment="1">
      <alignment horizontal="center" vertical="center"/>
    </xf>
    <xf numFmtId="164" fontId="18" fillId="10" borderId="0" xfId="0" applyNumberFormat="1" applyFont="1" applyFill="1"/>
    <xf numFmtId="0" fontId="1" fillId="10" borderId="0" xfId="0" applyFont="1" applyFill="1"/>
    <xf numFmtId="3" fontId="11" fillId="10" borderId="9" xfId="2" applyNumberFormat="1" applyFont="1" applyFill="1" applyBorder="1" applyAlignment="1">
      <alignment horizontal="center" vertical="center"/>
    </xf>
    <xf numFmtId="3" fontId="25" fillId="10" borderId="9" xfId="2" applyNumberFormat="1" applyFont="1" applyFill="1" applyBorder="1" applyAlignment="1">
      <alignment horizontal="center" vertical="center"/>
    </xf>
    <xf numFmtId="10" fontId="1" fillId="10" borderId="0" xfId="0" applyNumberFormat="1" applyFont="1" applyFill="1"/>
    <xf numFmtId="2" fontId="14" fillId="9" borderId="9" xfId="2" applyNumberFormat="1" applyFont="1" applyFill="1" applyBorder="1" applyAlignment="1">
      <alignment horizontal="center" vertical="center"/>
    </xf>
    <xf numFmtId="3" fontId="13" fillId="9" borderId="9" xfId="2" applyNumberFormat="1" applyFont="1" applyFill="1" applyBorder="1" applyAlignment="1">
      <alignment horizontal="center" vertical="center"/>
    </xf>
    <xf numFmtId="15" fontId="11" fillId="11" borderId="21" xfId="11" applyNumberFormat="1" applyFont="1" applyFill="1" applyBorder="1" applyAlignment="1">
      <alignment horizontal="center" vertical="center"/>
    </xf>
    <xf numFmtId="0" fontId="11" fillId="11" borderId="24" xfId="11" applyFont="1" applyFill="1" applyBorder="1" applyAlignment="1">
      <alignment horizontal="center" vertical="center"/>
    </xf>
    <xf numFmtId="0" fontId="11" fillId="11" borderId="24" xfId="11" applyFont="1" applyFill="1" applyBorder="1" applyAlignment="1">
      <alignment horizontal="left" vertical="center"/>
    </xf>
    <xf numFmtId="3" fontId="28" fillId="11" borderId="21" xfId="11" applyNumberFormat="1" applyFont="1" applyFill="1" applyBorder="1" applyAlignment="1">
      <alignment horizontal="center" vertical="center"/>
    </xf>
    <xf numFmtId="3" fontId="11" fillId="11" borderId="24" xfId="11" applyNumberFormat="1" applyFont="1" applyFill="1" applyBorder="1" applyAlignment="1">
      <alignment horizontal="center" vertical="center"/>
    </xf>
    <xf numFmtId="3" fontId="25" fillId="11" borderId="9" xfId="2" applyNumberFormat="1" applyFont="1" applyFill="1" applyBorder="1" applyAlignment="1">
      <alignment horizontal="center" vertical="center"/>
    </xf>
    <xf numFmtId="10" fontId="13" fillId="11" borderId="9" xfId="2" applyNumberFormat="1" applyFont="1" applyFill="1" applyBorder="1" applyAlignment="1">
      <alignment horizontal="center" vertical="center"/>
    </xf>
    <xf numFmtId="3" fontId="13" fillId="11" borderId="9" xfId="2" applyNumberFormat="1" applyFont="1" applyFill="1" applyBorder="1" applyAlignment="1">
      <alignment horizontal="center" vertical="center"/>
    </xf>
    <xf numFmtId="0" fontId="13" fillId="11" borderId="21" xfId="2" applyNumberFormat="1" applyFont="1" applyFill="1" applyBorder="1" applyAlignment="1">
      <alignment horizontal="center" vertical="center"/>
    </xf>
    <xf numFmtId="10" fontId="13" fillId="11" borderId="21" xfId="2" applyNumberFormat="1" applyFont="1" applyFill="1" applyBorder="1" applyAlignment="1">
      <alignment horizontal="center" vertical="center"/>
    </xf>
    <xf numFmtId="3" fontId="11" fillId="11" borderId="9" xfId="2" applyNumberFormat="1" applyFont="1" applyFill="1" applyBorder="1" applyAlignment="1">
      <alignment horizontal="center" vertical="distributed" wrapText="1"/>
    </xf>
    <xf numFmtId="164" fontId="11" fillId="11" borderId="10" xfId="2" applyNumberFormat="1" applyFont="1" applyFill="1" applyBorder="1" applyAlignment="1">
      <alignment horizontal="center" vertical="center"/>
    </xf>
    <xf numFmtId="167" fontId="13" fillId="11" borderId="9" xfId="2" applyNumberFormat="1" applyFont="1" applyFill="1" applyBorder="1" applyAlignment="1">
      <alignment horizontal="center" vertical="center"/>
    </xf>
    <xf numFmtId="2" fontId="14" fillId="11" borderId="9" xfId="2" applyNumberFormat="1" applyFont="1" applyFill="1" applyBorder="1" applyAlignment="1">
      <alignment horizontal="center" vertical="center"/>
    </xf>
    <xf numFmtId="0" fontId="14" fillId="11" borderId="9" xfId="4" applyFont="1" applyFill="1" applyBorder="1" applyAlignment="1">
      <alignment horizontal="center" vertical="center"/>
    </xf>
    <xf numFmtId="0" fontId="17" fillId="11" borderId="9" xfId="3" applyFont="1" applyFill="1" applyBorder="1" applyAlignment="1">
      <alignment horizontal="center"/>
    </xf>
    <xf numFmtId="10" fontId="2" fillId="11" borderId="0" xfId="0" applyNumberFormat="1" applyFont="1" applyFill="1"/>
    <xf numFmtId="0" fontId="1" fillId="11" borderId="0" xfId="0" applyFont="1" applyFill="1"/>
    <xf numFmtId="0" fontId="12" fillId="0" borderId="0" xfId="0" applyFont="1"/>
    <xf numFmtId="0" fontId="11" fillId="0" borderId="24" xfId="11" applyFont="1" applyBorder="1" applyAlignment="1">
      <alignment horizontal="center" vertical="center" wrapText="1"/>
    </xf>
    <xf numFmtId="0" fontId="11" fillId="0" borderId="24" xfId="11" applyFont="1" applyBorder="1" applyAlignment="1">
      <alignment horizontal="center" vertical="center"/>
    </xf>
    <xf numFmtId="0" fontId="12" fillId="0" borderId="24" xfId="0" applyFont="1" applyBorder="1" applyAlignment="1">
      <alignment horizontal="center"/>
    </xf>
    <xf numFmtId="0" fontId="11" fillId="12" borderId="24" xfId="11" applyFont="1" applyFill="1" applyBorder="1" applyAlignment="1">
      <alignment horizontal="center" vertical="center"/>
    </xf>
    <xf numFmtId="0" fontId="11" fillId="12" borderId="24" xfId="11" applyFont="1" applyFill="1" applyBorder="1" applyAlignment="1">
      <alignment horizontal="left" vertical="center"/>
    </xf>
    <xf numFmtId="0" fontId="12" fillId="0" borderId="24" xfId="0" applyFont="1" applyBorder="1"/>
    <xf numFmtId="0" fontId="11" fillId="13" borderId="24" xfId="11" applyFont="1" applyFill="1" applyBorder="1" applyAlignment="1">
      <alignment horizontal="center" vertical="center"/>
    </xf>
    <xf numFmtId="0" fontId="11" fillId="13" borderId="24" xfId="11" applyFont="1" applyFill="1" applyBorder="1" applyAlignment="1">
      <alignment horizontal="left" vertical="center"/>
    </xf>
    <xf numFmtId="15" fontId="11" fillId="14" borderId="21" xfId="11" applyNumberFormat="1" applyFont="1" applyFill="1" applyBorder="1" applyAlignment="1">
      <alignment horizontal="center" vertical="center"/>
    </xf>
    <xf numFmtId="0" fontId="11" fillId="14" borderId="24" xfId="11" applyFont="1" applyFill="1" applyBorder="1" applyAlignment="1">
      <alignment horizontal="center" vertical="center"/>
    </xf>
    <xf numFmtId="0" fontId="11" fillId="14" borderId="24" xfId="11" applyFont="1" applyFill="1" applyBorder="1" applyAlignment="1">
      <alignment horizontal="left" vertical="center"/>
    </xf>
    <xf numFmtId="3" fontId="28" fillId="14" borderId="21" xfId="11" applyNumberFormat="1" applyFont="1" applyFill="1" applyBorder="1" applyAlignment="1">
      <alignment horizontal="center" vertical="center"/>
    </xf>
    <xf numFmtId="0" fontId="13" fillId="14" borderId="9" xfId="2" applyFont="1" applyFill="1" applyBorder="1" applyAlignment="1">
      <alignment horizontal="center" vertical="center"/>
    </xf>
    <xf numFmtId="3" fontId="11" fillId="14" borderId="24" xfId="11" applyNumberFormat="1" applyFont="1" applyFill="1" applyBorder="1" applyAlignment="1">
      <alignment horizontal="center" vertical="center"/>
    </xf>
    <xf numFmtId="3" fontId="11" fillId="14" borderId="21" xfId="11" applyNumberFormat="1" applyFont="1" applyFill="1" applyBorder="1" applyAlignment="1">
      <alignment horizontal="center" vertical="center"/>
    </xf>
    <xf numFmtId="10" fontId="13" fillId="14" borderId="9" xfId="2" applyNumberFormat="1" applyFont="1" applyFill="1" applyBorder="1" applyAlignment="1">
      <alignment horizontal="center" vertical="center"/>
    </xf>
    <xf numFmtId="0" fontId="13" fillId="14" borderId="21" xfId="2" applyNumberFormat="1" applyFont="1" applyFill="1" applyBorder="1" applyAlignment="1">
      <alignment horizontal="center" vertical="center"/>
    </xf>
    <xf numFmtId="10" fontId="13" fillId="14" borderId="21" xfId="2" applyNumberFormat="1" applyFont="1" applyFill="1" applyBorder="1" applyAlignment="1">
      <alignment horizontal="center" vertical="center"/>
    </xf>
    <xf numFmtId="3" fontId="11" fillId="14" borderId="9" xfId="2" applyNumberFormat="1" applyFont="1" applyFill="1" applyBorder="1" applyAlignment="1">
      <alignment horizontal="center" vertical="distributed" wrapText="1"/>
    </xf>
    <xf numFmtId="164" fontId="11" fillId="14" borderId="10" xfId="2" applyNumberFormat="1" applyFont="1" applyFill="1" applyBorder="1" applyAlignment="1">
      <alignment horizontal="center" vertical="center"/>
    </xf>
    <xf numFmtId="167" fontId="13" fillId="14" borderId="9" xfId="2" applyNumberFormat="1" applyFont="1" applyFill="1" applyBorder="1" applyAlignment="1">
      <alignment horizontal="center" vertical="center"/>
    </xf>
    <xf numFmtId="0" fontId="14" fillId="14" borderId="9" xfId="4" applyFont="1" applyFill="1" applyBorder="1" applyAlignment="1">
      <alignment horizontal="center" vertical="center"/>
    </xf>
    <xf numFmtId="0" fontId="17" fillId="14" borderId="9" xfId="3" applyFont="1" applyFill="1" applyBorder="1" applyAlignment="1">
      <alignment horizontal="center"/>
    </xf>
    <xf numFmtId="0" fontId="18" fillId="14" borderId="0" xfId="0" applyFont="1" applyFill="1"/>
    <xf numFmtId="0" fontId="0" fillId="14" borderId="0" xfId="0" applyFill="1"/>
    <xf numFmtId="0" fontId="19" fillId="14" borderId="9" xfId="2" applyFont="1" applyFill="1" applyBorder="1" applyAlignment="1">
      <alignment horizontal="center" vertical="center"/>
    </xf>
    <xf numFmtId="0" fontId="17" fillId="14" borderId="9" xfId="4" applyFont="1" applyFill="1" applyBorder="1" applyAlignment="1">
      <alignment horizontal="center" vertical="center"/>
    </xf>
    <xf numFmtId="164" fontId="18" fillId="14" borderId="0" xfId="0" applyNumberFormat="1" applyFont="1" applyFill="1"/>
    <xf numFmtId="0" fontId="30" fillId="0" borderId="15" xfId="0" applyFont="1" applyFill="1" applyBorder="1" applyAlignment="1">
      <alignment horizontal="center" vertical="center"/>
    </xf>
    <xf numFmtId="0" fontId="30" fillId="0" borderId="16" xfId="0" applyFont="1" applyFill="1" applyBorder="1" applyAlignment="1">
      <alignment horizontal="center" vertical="center"/>
    </xf>
    <xf numFmtId="15" fontId="33" fillId="0" borderId="21" xfId="0" applyNumberFormat="1" applyFon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14" xfId="0" applyNumberFormat="1" applyFill="1" applyBorder="1" applyAlignment="1">
      <alignment horizontal="center" vertical="center"/>
    </xf>
    <xf numFmtId="9" fontId="0" fillId="0" borderId="11" xfId="0" applyNumberFormat="1" applyFill="1" applyBorder="1" applyAlignment="1">
      <alignment horizontal="center" vertical="center"/>
    </xf>
    <xf numFmtId="0" fontId="29" fillId="5" borderId="21" xfId="0" applyFont="1" applyFill="1" applyBorder="1" applyAlignment="1">
      <alignment horizontal="center" wrapText="1"/>
    </xf>
    <xf numFmtId="0" fontId="0" fillId="0" borderId="12" xfId="0" applyNumberFormat="1" applyFill="1" applyBorder="1" applyAlignment="1">
      <alignment horizontal="center" vertical="center"/>
    </xf>
    <xf numFmtId="0" fontId="0" fillId="0" borderId="17" xfId="0" applyNumberFormat="1" applyFill="1" applyBorder="1" applyAlignment="1">
      <alignment horizontal="center" vertical="center"/>
    </xf>
    <xf numFmtId="0" fontId="0" fillId="0" borderId="18" xfId="0" applyNumberFormat="1" applyFill="1" applyBorder="1" applyAlignment="1">
      <alignment horizontal="center" vertical="center"/>
    </xf>
    <xf numFmtId="0" fontId="29" fillId="5" borderId="21" xfId="0" applyFont="1" applyFill="1" applyBorder="1" applyAlignment="1">
      <alignment horizontal="center"/>
    </xf>
    <xf numFmtId="0" fontId="29" fillId="5" borderId="21" xfId="0" applyFont="1" applyFill="1" applyBorder="1" applyAlignment="1">
      <alignment horizontal="center" vertical="center"/>
    </xf>
    <xf numFmtId="0" fontId="7" fillId="0" borderId="8" xfId="2" applyFont="1" applyFill="1" applyBorder="1" applyAlignment="1">
      <alignment horizontal="center"/>
    </xf>
    <xf numFmtId="0" fontId="7" fillId="0" borderId="0" xfId="2" applyFont="1" applyFill="1" applyBorder="1" applyAlignment="1">
      <alignment horizontal="center"/>
    </xf>
    <xf numFmtId="1" fontId="14" fillId="0" borderId="23" xfId="2" applyNumberFormat="1" applyFont="1" applyFill="1" applyBorder="1" applyAlignment="1">
      <alignment horizontal="center" vertical="center"/>
    </xf>
    <xf numFmtId="1" fontId="14" fillId="0" borderId="20" xfId="2" applyNumberFormat="1" applyFont="1" applyFill="1" applyBorder="1" applyAlignment="1">
      <alignment horizontal="center" vertical="center"/>
    </xf>
    <xf numFmtId="1" fontId="14" fillId="0" borderId="25" xfId="2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20" fontId="3" fillId="0" borderId="2" xfId="1" applyNumberFormat="1" applyFont="1" applyFill="1" applyBorder="1" applyAlignment="1">
      <alignment horizontal="center" vertical="center"/>
    </xf>
    <xf numFmtId="20" fontId="3" fillId="0" borderId="3" xfId="1" applyNumberFormat="1" applyFont="1" applyFill="1" applyBorder="1" applyAlignment="1">
      <alignment horizontal="center" vertical="center"/>
    </xf>
    <xf numFmtId="20" fontId="3" fillId="0" borderId="4" xfId="1" applyNumberFormat="1" applyFont="1" applyFill="1" applyBorder="1" applyAlignment="1">
      <alignment horizontal="center" vertical="center"/>
    </xf>
    <xf numFmtId="15" fontId="8" fillId="14" borderId="9" xfId="3" applyNumberFormat="1" applyFont="1" applyFill="1" applyBorder="1" applyAlignment="1">
      <alignment horizontal="center" vertical="center"/>
    </xf>
    <xf numFmtId="0" fontId="11" fillId="14" borderId="24" xfId="11" applyFont="1" applyFill="1" applyBorder="1" applyAlignment="1">
      <alignment vertical="center"/>
    </xf>
    <xf numFmtId="3" fontId="11" fillId="14" borderId="9" xfId="2" applyNumberFormat="1" applyFont="1" applyFill="1" applyBorder="1" applyAlignment="1">
      <alignment horizontal="center" vertical="center"/>
    </xf>
    <xf numFmtId="3" fontId="13" fillId="14" borderId="9" xfId="2" applyNumberFormat="1" applyFont="1" applyFill="1" applyBorder="1" applyAlignment="1">
      <alignment horizontal="center" vertical="center"/>
    </xf>
    <xf numFmtId="2" fontId="14" fillId="14" borderId="9" xfId="2" applyNumberFormat="1" applyFont="1" applyFill="1" applyBorder="1" applyAlignment="1">
      <alignment horizontal="center" vertical="center"/>
    </xf>
    <xf numFmtId="0" fontId="14" fillId="14" borderId="9" xfId="2" applyNumberFormat="1" applyFont="1" applyFill="1" applyBorder="1" applyAlignment="1">
      <alignment horizontal="center" vertical="center"/>
    </xf>
    <xf numFmtId="10" fontId="2" fillId="14" borderId="0" xfId="0" applyNumberFormat="1" applyFont="1" applyFill="1"/>
  </cellXfs>
  <cellStyles count="60">
    <cellStyle name="40% - Accent1 2" xfId="8" xr:uid="{00000000-0005-0000-0000-000000000000}"/>
    <cellStyle name="Comma [0] 2" xfId="15" xr:uid="{00000000-0005-0000-0000-000001000000}"/>
    <cellStyle name="Comma [0] 2 2" xfId="19" xr:uid="{00000000-0005-0000-0000-000002000000}"/>
    <cellStyle name="Comma [0] 2 2 2" xfId="24" xr:uid="{A757B202-3C0D-4295-8864-086109FDF87B}"/>
    <cellStyle name="Comma [0] 2 2 2 2" xfId="34" xr:uid="{EFD679B4-5F75-449C-9269-D39D3334FA3C}"/>
    <cellStyle name="Comma [0] 2 2 2 3" xfId="43" xr:uid="{FD3708D1-2609-4628-A454-4B76647B1982}"/>
    <cellStyle name="Comma [0] 2 2 2 4" xfId="53" xr:uid="{6DF54B81-26A9-4ADF-BB8D-D3DCDDEBE5A3}"/>
    <cellStyle name="Comma [0] 2 2 2 5" xfId="58" xr:uid="{7660F38D-E9BD-4904-99C8-194DF2EC711A}"/>
    <cellStyle name="Comma [0] 2 2 3" xfId="26" xr:uid="{F2EE043F-4056-4141-A106-621B70DC5A02}"/>
    <cellStyle name="Comma [0] 2 2 4" xfId="28" xr:uid="{754A6FC7-A9DE-495C-99C2-16B35FD943F8}"/>
    <cellStyle name="Comma [0] 2 2 5" xfId="30" xr:uid="{432C22BF-01BF-4FBF-9E5B-47A70D22502B}"/>
    <cellStyle name="Comma [0] 2 2 6" xfId="40" xr:uid="{D7458D5E-3F6A-425C-AA48-CD0DC2EAF5B9}"/>
    <cellStyle name="Comma [0] 2 2 7" xfId="51" xr:uid="{FDC3C401-877B-4AF8-AA3C-DC6C4B44994E}"/>
    <cellStyle name="Comma [0] 2 2 8" xfId="56" xr:uid="{B07900CA-6E70-48A5-9DFA-0A760AC0E14D}"/>
    <cellStyle name="Comma 10" xfId="36" xr:uid="{6FB4B6B3-5727-444A-BAC9-F0A19C2182DF}"/>
    <cellStyle name="Comma 11" xfId="42" xr:uid="{02E8D52A-AB7E-4A93-A60D-20A8739520CE}"/>
    <cellStyle name="Comma 12" xfId="47" xr:uid="{86942408-3F23-4EA7-B8E9-171E8987D867}"/>
    <cellStyle name="Comma 13" xfId="37" xr:uid="{FB58B153-1065-4B12-AA87-5475D2DCFAA8}"/>
    <cellStyle name="Comma 14" xfId="38" xr:uid="{2DC8F377-A2B3-4C77-BB02-4A3E7D2BB4C3}"/>
    <cellStyle name="Comma 2" xfId="9" xr:uid="{00000000-0005-0000-0000-000003000000}"/>
    <cellStyle name="Comma 2 2" xfId="21" xr:uid="{1790C3C1-7095-4BCC-8028-1E0150923CD2}"/>
    <cellStyle name="Comma 2 2 2" xfId="23" xr:uid="{45E356C4-A131-4AED-BDDA-D48D29D4EDDF}"/>
    <cellStyle name="Comma 2 2 2 2" xfId="32" xr:uid="{8388F675-176F-4C60-97B4-F50D2CEAB532}"/>
    <cellStyle name="Comma 2 2 2 3" xfId="41" xr:uid="{2EC970AD-D8C3-4F94-B692-F50278F362C0}"/>
    <cellStyle name="Comma 2 2 2 4" xfId="52" xr:uid="{542E47E6-7231-485A-A4E6-A8E54E357A33}"/>
    <cellStyle name="Comma 2 2 2 5" xfId="57" xr:uid="{A049E62C-CE2D-4AA9-8D20-8DF2EAEE648A}"/>
    <cellStyle name="Comma 2 2 3" xfId="25" xr:uid="{A226D525-7CC0-425C-84D1-456B4873B7F4}"/>
    <cellStyle name="Comma 2 2 4" xfId="27" xr:uid="{69572DD1-B172-48BC-BE5F-ACB2CCCA8DF9}"/>
    <cellStyle name="Comma 2 2 5" xfId="29" xr:uid="{D19D723E-26F7-4958-B69C-9DD38CD2D989}"/>
    <cellStyle name="Comma 2 2 6" xfId="39" xr:uid="{135D6035-F294-49BE-A4FD-54B65C39C5F3}"/>
    <cellStyle name="Comma 2 2 7" xfId="50" xr:uid="{4BAEC589-4F13-498E-B7AE-B57C7D372FB1}"/>
    <cellStyle name="Comma 2 2 8" xfId="55" xr:uid="{23A668C2-FBA4-40FC-BFA6-BD654A1095F2}"/>
    <cellStyle name="Comma 2 3" xfId="35" xr:uid="{A5F09DC0-DA46-4717-B4FB-3DCB4A61C0B4}"/>
    <cellStyle name="Comma 2 4" xfId="44" xr:uid="{13EC69C5-40F4-4AC2-A080-FE48FEE1E5E6}"/>
    <cellStyle name="Comma 2 5" xfId="54" xr:uid="{FB5604D4-D612-4305-9069-6F3CEE0B7101}"/>
    <cellStyle name="Comma 2 6" xfId="59" xr:uid="{3EF36583-207C-4C17-A69C-C19E45331CF1}"/>
    <cellStyle name="Comma 3" xfId="10" xr:uid="{00000000-0005-0000-0000-000004000000}"/>
    <cellStyle name="Comma 4" xfId="7" xr:uid="{00000000-0005-0000-0000-000005000000}"/>
    <cellStyle name="Comma 5" xfId="46" xr:uid="{8F441918-2F74-40C4-ACB2-0FB35CA75DE0}"/>
    <cellStyle name="Comma 6" xfId="18" xr:uid="{00000000-0005-0000-0000-000006000000}"/>
    <cellStyle name="Comma 7" xfId="49" xr:uid="{B81214BF-752B-463A-93F2-82BAB71140E5}"/>
    <cellStyle name="Comma 8" xfId="45" xr:uid="{E4B87846-127F-4A81-9F1C-AAEC639CBD70}"/>
    <cellStyle name="Comma 9" xfId="48" xr:uid="{05E1985F-F42E-42BF-B5F6-FB3A5AB2BD0F}"/>
    <cellStyle name="Excel Built-in Explanatory Text" xfId="14" xr:uid="{00000000-0005-0000-0000-000007000000}"/>
    <cellStyle name="Normal" xfId="0" builtinId="0"/>
    <cellStyle name="Normal 2" xfId="11" xr:uid="{00000000-0005-0000-0000-000009000000}"/>
    <cellStyle name="Normal 2 2" xfId="16" xr:uid="{00000000-0005-0000-0000-00000A000000}"/>
    <cellStyle name="Normal 2 2 2" xfId="2" xr:uid="{00000000-0005-0000-0000-00000B000000}"/>
    <cellStyle name="Normal 2 28" xfId="4" xr:uid="{00000000-0005-0000-0000-00000C000000}"/>
    <cellStyle name="Normal 2 3" xfId="5" xr:uid="{00000000-0005-0000-0000-00000D000000}"/>
    <cellStyle name="Normal 27" xfId="3" xr:uid="{00000000-0005-0000-0000-00000E000000}"/>
    <cellStyle name="Normal 28" xfId="1" xr:uid="{00000000-0005-0000-0000-00000F000000}"/>
    <cellStyle name="Normal 3" xfId="6" xr:uid="{00000000-0005-0000-0000-000010000000}"/>
    <cellStyle name="Normal 3 2" xfId="20" xr:uid="{12C89E80-06FD-4DA8-9B64-93A84B35EEFC}"/>
    <cellStyle name="Normal 3 2 2" xfId="31" xr:uid="{D1251537-E8B0-445A-BB18-9A7A1668F8A1}"/>
    <cellStyle name="Normal 4" xfId="13" xr:uid="{00000000-0005-0000-0000-000011000000}"/>
    <cellStyle name="Percent 2" xfId="17" xr:uid="{00000000-0005-0000-0000-000012000000}"/>
    <cellStyle name="Percent 2 2" xfId="22" xr:uid="{024B587C-8AA1-4B44-BAF7-6BE3E6928E17}"/>
    <cellStyle name="Percent 2 2 2" xfId="33" xr:uid="{2B66C312-AD2D-44B9-9044-473809718F5F}"/>
    <cellStyle name="Style 1" xfId="12" xr:uid="{00000000-0005-0000-0000-000013000000}"/>
  </cellStyles>
  <dxfs count="0"/>
  <tableStyles count="0" defaultTableStyle="TableStyleMedium9" defaultPivotStyle="PivotStyleLight16"/>
  <colors>
    <mruColors>
      <color rgb="FFA0F781"/>
      <color rgb="FF5DFF5D"/>
      <color rgb="FF66FF33"/>
      <color rgb="FF7AE169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4"/>
  <sheetViews>
    <sheetView topLeftCell="J10" zoomScale="60" zoomScaleNormal="60" workbookViewId="0">
      <selection activeCell="AF33" sqref="AF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3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28" t="s">
        <v>60</v>
      </c>
      <c r="F2" s="28" t="s">
        <v>43</v>
      </c>
      <c r="G2" s="28" t="s">
        <v>44</v>
      </c>
      <c r="H2" s="28" t="s">
        <v>45</v>
      </c>
      <c r="I2" s="29" t="s">
        <v>74</v>
      </c>
      <c r="J2" s="30" t="s">
        <v>46</v>
      </c>
      <c r="K2" s="31" t="s">
        <v>47</v>
      </c>
      <c r="L2" s="28" t="s">
        <v>48</v>
      </c>
      <c r="M2" s="27" t="s">
        <v>25</v>
      </c>
      <c r="N2" s="28" t="s">
        <v>26</v>
      </c>
      <c r="O2" s="32" t="s">
        <v>49</v>
      </c>
    </row>
    <row r="3" spans="1:23" ht="18.75" thickBot="1" x14ac:dyDescent="0.3">
      <c r="A3" s="215">
        <v>46149</v>
      </c>
      <c r="B3" s="26" t="s">
        <v>50</v>
      </c>
      <c r="C3" s="218">
        <v>1</v>
      </c>
      <c r="D3" s="217"/>
      <c r="E3" s="50"/>
      <c r="F3" s="51"/>
      <c r="G3" s="51"/>
      <c r="H3" s="51"/>
      <c r="I3" s="54"/>
      <c r="J3" s="52"/>
      <c r="K3" s="53"/>
      <c r="L3" s="143">
        <v>106666</v>
      </c>
      <c r="M3" s="140" t="s">
        <v>107</v>
      </c>
      <c r="N3" s="140" t="s">
        <v>87</v>
      </c>
      <c r="O3" s="139" t="s">
        <v>85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99</v>
      </c>
      <c r="J4" s="55" t="s">
        <v>84</v>
      </c>
      <c r="K4" s="56"/>
      <c r="L4" s="143">
        <v>106666</v>
      </c>
      <c r="M4" s="140" t="s">
        <v>107</v>
      </c>
      <c r="N4" s="140" t="s">
        <v>87</v>
      </c>
      <c r="O4" s="139" t="s">
        <v>85</v>
      </c>
    </row>
    <row r="5" spans="1:23" ht="18.75" thickBot="1" x14ac:dyDescent="0.3">
      <c r="A5" s="215">
        <v>46150</v>
      </c>
      <c r="B5" s="26" t="s">
        <v>50</v>
      </c>
      <c r="C5" s="218"/>
      <c r="D5" s="217"/>
      <c r="E5" s="50" t="s">
        <v>83</v>
      </c>
      <c r="F5" s="51">
        <v>0.03</v>
      </c>
      <c r="G5" s="51"/>
      <c r="H5" s="51"/>
      <c r="I5" s="54" t="s">
        <v>135</v>
      </c>
      <c r="J5" s="55" t="s">
        <v>84</v>
      </c>
      <c r="K5" s="56" t="s">
        <v>93</v>
      </c>
      <c r="L5" s="143">
        <v>106666</v>
      </c>
      <c r="M5" s="140" t="s">
        <v>107</v>
      </c>
      <c r="N5" s="140" t="s">
        <v>87</v>
      </c>
      <c r="O5" s="139" t="s">
        <v>85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>
        <v>0.03</v>
      </c>
      <c r="G6" s="51"/>
      <c r="H6" s="51"/>
      <c r="I6" s="54" t="s">
        <v>135</v>
      </c>
      <c r="J6" s="55" t="s">
        <v>84</v>
      </c>
      <c r="K6" s="56" t="s">
        <v>93</v>
      </c>
      <c r="L6" s="143">
        <v>106666</v>
      </c>
      <c r="M6" s="140" t="s">
        <v>107</v>
      </c>
      <c r="N6" s="140" t="s">
        <v>87</v>
      </c>
      <c r="O6" s="139" t="s">
        <v>85</v>
      </c>
    </row>
    <row r="7" spans="1:23" ht="18.75" thickBot="1" x14ac:dyDescent="0.3">
      <c r="A7" s="215">
        <v>46151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168</v>
      </c>
      <c r="J7" s="55" t="s">
        <v>84</v>
      </c>
      <c r="K7" s="56"/>
      <c r="L7" s="143">
        <v>106666</v>
      </c>
      <c r="M7" s="140" t="s">
        <v>107</v>
      </c>
      <c r="N7" s="140" t="s">
        <v>87</v>
      </c>
      <c r="O7" s="139" t="s">
        <v>85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180</v>
      </c>
      <c r="J8" s="55" t="s">
        <v>84</v>
      </c>
      <c r="K8" s="56"/>
      <c r="L8" s="143">
        <v>106666</v>
      </c>
      <c r="M8" s="140" t="s">
        <v>107</v>
      </c>
      <c r="N8" s="140" t="s">
        <v>87</v>
      </c>
      <c r="O8" s="139" t="s">
        <v>85</v>
      </c>
    </row>
    <row r="9" spans="1:23" ht="18.75" thickBot="1" x14ac:dyDescent="0.3">
      <c r="A9" s="215">
        <v>46152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196</v>
      </c>
      <c r="J9" s="55" t="s">
        <v>84</v>
      </c>
      <c r="K9" s="56"/>
      <c r="L9" s="143">
        <v>106666</v>
      </c>
      <c r="M9" s="140" t="s">
        <v>107</v>
      </c>
      <c r="N9" s="140" t="s">
        <v>87</v>
      </c>
      <c r="O9" s="139" t="s">
        <v>85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204</v>
      </c>
      <c r="J10" s="55" t="s">
        <v>84</v>
      </c>
      <c r="K10" s="56"/>
      <c r="L10" s="143">
        <v>106666</v>
      </c>
      <c r="M10" s="140" t="s">
        <v>107</v>
      </c>
      <c r="N10" s="140" t="s">
        <v>87</v>
      </c>
      <c r="O10" s="139" t="s">
        <v>85</v>
      </c>
    </row>
    <row r="11" spans="1:23" ht="18.75" thickBot="1" x14ac:dyDescent="0.3">
      <c r="A11" s="215">
        <v>46153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175</v>
      </c>
      <c r="J11" s="55" t="s">
        <v>84</v>
      </c>
      <c r="K11" s="56"/>
      <c r="L11" s="143">
        <v>106666</v>
      </c>
      <c r="M11" s="140" t="s">
        <v>107</v>
      </c>
      <c r="N11" s="140" t="s">
        <v>87</v>
      </c>
      <c r="O11" s="139" t="s">
        <v>85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>
        <v>0.06</v>
      </c>
      <c r="H12" s="51"/>
      <c r="I12" s="54" t="s">
        <v>188</v>
      </c>
      <c r="J12" s="55" t="s">
        <v>84</v>
      </c>
      <c r="K12" s="56"/>
      <c r="L12" s="143">
        <v>106666</v>
      </c>
      <c r="M12" s="140" t="s">
        <v>107</v>
      </c>
      <c r="N12" s="140" t="s">
        <v>87</v>
      </c>
      <c r="O12" s="139" t="s">
        <v>85</v>
      </c>
      <c r="W12" t="s">
        <v>63</v>
      </c>
    </row>
    <row r="13" spans="1:23" ht="18.75" thickBot="1" x14ac:dyDescent="0.3">
      <c r="A13" s="215">
        <v>46154</v>
      </c>
      <c r="B13" s="26" t="s">
        <v>50</v>
      </c>
      <c r="C13" s="218"/>
      <c r="D13" s="217"/>
      <c r="E13" s="50" t="s">
        <v>266</v>
      </c>
      <c r="F13" s="57"/>
      <c r="G13" s="51"/>
      <c r="H13" s="51"/>
      <c r="I13" s="54"/>
      <c r="J13" s="55" t="s">
        <v>84</v>
      </c>
      <c r="K13" s="56"/>
      <c r="L13" s="143">
        <v>106666</v>
      </c>
      <c r="M13" s="140" t="s">
        <v>107</v>
      </c>
      <c r="N13" s="140" t="s">
        <v>87</v>
      </c>
      <c r="O13" s="139" t="s">
        <v>85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283</v>
      </c>
      <c r="F14" s="57"/>
      <c r="G14" s="51"/>
      <c r="H14" s="51"/>
      <c r="I14" s="54"/>
      <c r="J14" s="55" t="s">
        <v>95</v>
      </c>
      <c r="K14" s="56"/>
      <c r="L14" s="143">
        <v>106666</v>
      </c>
      <c r="M14" s="140" t="s">
        <v>107</v>
      </c>
      <c r="N14" s="140" t="s">
        <v>87</v>
      </c>
      <c r="O14" s="139" t="s">
        <v>85</v>
      </c>
    </row>
    <row r="15" spans="1:23" ht="18.75" thickBot="1" x14ac:dyDescent="0.3">
      <c r="A15" s="215">
        <v>46155</v>
      </c>
      <c r="B15" s="26" t="s">
        <v>50</v>
      </c>
      <c r="C15" s="218"/>
      <c r="D15" s="217"/>
      <c r="E15" s="50" t="s">
        <v>294</v>
      </c>
      <c r="F15" s="57"/>
      <c r="G15" s="58">
        <v>0.06</v>
      </c>
      <c r="H15" s="51"/>
      <c r="I15" s="54"/>
      <c r="J15" s="55" t="s">
        <v>84</v>
      </c>
      <c r="K15" s="56"/>
      <c r="L15" s="143">
        <v>106666</v>
      </c>
      <c r="M15" s="140" t="s">
        <v>107</v>
      </c>
      <c r="N15" s="140" t="s">
        <v>87</v>
      </c>
      <c r="O15" s="139" t="s">
        <v>85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300</v>
      </c>
      <c r="F16" s="57"/>
      <c r="G16" s="58"/>
      <c r="H16" s="51"/>
      <c r="I16" s="54"/>
      <c r="J16" s="55" t="s">
        <v>84</v>
      </c>
      <c r="K16" s="56"/>
      <c r="L16" s="143">
        <v>106666</v>
      </c>
      <c r="M16" s="140" t="s">
        <v>107</v>
      </c>
      <c r="N16" s="140" t="s">
        <v>87</v>
      </c>
      <c r="O16" s="139" t="s">
        <v>85</v>
      </c>
    </row>
    <row r="17" spans="1:56" ht="18.75" thickBot="1" x14ac:dyDescent="0.3">
      <c r="A17" s="215">
        <v>46156</v>
      </c>
      <c r="B17" s="26" t="s">
        <v>50</v>
      </c>
      <c r="C17" s="218"/>
      <c r="D17" s="217"/>
      <c r="E17" s="50" t="s">
        <v>314</v>
      </c>
      <c r="F17" s="57"/>
      <c r="G17" s="58"/>
      <c r="H17" s="51"/>
      <c r="I17" s="54"/>
      <c r="J17" s="55" t="s">
        <v>84</v>
      </c>
      <c r="K17" s="56"/>
      <c r="L17" s="143">
        <v>106666</v>
      </c>
      <c r="M17" s="140" t="s">
        <v>107</v>
      </c>
      <c r="N17" s="140" t="s">
        <v>87</v>
      </c>
      <c r="O17" s="139" t="s">
        <v>85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>
        <v>0.03</v>
      </c>
      <c r="G18" s="58"/>
      <c r="H18" s="51"/>
      <c r="I18" s="54"/>
      <c r="J18" s="55" t="s">
        <v>84</v>
      </c>
      <c r="K18" s="53" t="s">
        <v>323</v>
      </c>
      <c r="L18" s="143">
        <v>106666</v>
      </c>
      <c r="M18" s="140" t="s">
        <v>107</v>
      </c>
      <c r="N18" s="140" t="s">
        <v>87</v>
      </c>
      <c r="O18" s="139" t="s">
        <v>85</v>
      </c>
    </row>
    <row r="19" spans="1:56" ht="18.75" thickBot="1" x14ac:dyDescent="0.3">
      <c r="A19" s="215">
        <v>46157</v>
      </c>
      <c r="B19" s="26" t="s">
        <v>50</v>
      </c>
      <c r="C19" s="218"/>
      <c r="D19" s="217"/>
      <c r="E19" s="50" t="s">
        <v>314</v>
      </c>
      <c r="F19" s="57"/>
      <c r="G19" s="58">
        <v>0.03</v>
      </c>
      <c r="H19" s="51"/>
      <c r="I19" s="54"/>
      <c r="J19" s="55" t="s">
        <v>84</v>
      </c>
      <c r="K19" s="53"/>
      <c r="L19" s="143">
        <v>106666</v>
      </c>
      <c r="M19" s="140" t="s">
        <v>107</v>
      </c>
      <c r="N19" s="140" t="s">
        <v>87</v>
      </c>
      <c r="O19" s="139" t="s">
        <v>85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/>
      <c r="L20" s="143">
        <v>106666</v>
      </c>
      <c r="M20" s="140" t="s">
        <v>107</v>
      </c>
      <c r="N20" s="140" t="s">
        <v>87</v>
      </c>
      <c r="O20" s="139" t="s">
        <v>85</v>
      </c>
    </row>
    <row r="21" spans="1:56" ht="18.75" thickBot="1" x14ac:dyDescent="0.3">
      <c r="A21" s="33"/>
      <c r="B21" s="33"/>
      <c r="C21" s="27"/>
      <c r="D21" s="28" t="s">
        <v>52</v>
      </c>
      <c r="E21" s="59"/>
      <c r="F21" s="59"/>
      <c r="G21" s="59"/>
      <c r="H21" s="59"/>
      <c r="I21" s="59"/>
      <c r="J21" s="60"/>
      <c r="K21" s="61"/>
      <c r="L21" s="143">
        <v>106666</v>
      </c>
      <c r="M21" s="140" t="s">
        <v>107</v>
      </c>
      <c r="N21" s="140" t="s">
        <v>87</v>
      </c>
      <c r="O21" s="139" t="s">
        <v>85</v>
      </c>
    </row>
    <row r="22" spans="1:56" ht="18.75" thickBot="1" x14ac:dyDescent="0.3">
      <c r="A22" s="215">
        <f>A19+1</f>
        <v>46158</v>
      </c>
      <c r="B22" s="26" t="s">
        <v>50</v>
      </c>
      <c r="C22" s="216">
        <v>1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6"/>
      <c r="L22" s="143">
        <v>106666</v>
      </c>
      <c r="M22" s="140" t="s">
        <v>107</v>
      </c>
      <c r="N22" s="140" t="s">
        <v>87</v>
      </c>
      <c r="O22" s="139" t="s">
        <v>85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43">
        <v>106666</v>
      </c>
      <c r="M23" s="140" t="s">
        <v>107</v>
      </c>
      <c r="N23" s="140" t="s">
        <v>87</v>
      </c>
      <c r="O23" s="139" t="s">
        <v>85</v>
      </c>
    </row>
    <row r="24" spans="1:56" ht="18.75" thickBot="1" x14ac:dyDescent="0.3">
      <c r="A24" s="215">
        <f>A22+1</f>
        <v>46159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43">
        <v>106666</v>
      </c>
      <c r="M24" s="140" t="s">
        <v>107</v>
      </c>
      <c r="N24" s="140" t="s">
        <v>87</v>
      </c>
      <c r="O24" s="139" t="s">
        <v>85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43">
        <v>106666</v>
      </c>
      <c r="M25" s="140" t="s">
        <v>107</v>
      </c>
      <c r="N25" s="140" t="s">
        <v>87</v>
      </c>
      <c r="O25" s="139" t="s">
        <v>85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35"/>
      <c r="B26" s="26"/>
      <c r="C26" s="28" t="s">
        <v>53</v>
      </c>
      <c r="D26" s="28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60" t="s">
        <v>46</v>
      </c>
      <c r="K26" s="61" t="s">
        <v>47</v>
      </c>
      <c r="L26" s="62" t="s">
        <v>48</v>
      </c>
      <c r="M26" s="62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37">
        <v>1</v>
      </c>
      <c r="U26" s="37">
        <v>2</v>
      </c>
      <c r="V26" s="37">
        <v>3</v>
      </c>
      <c r="W26" s="37">
        <v>4</v>
      </c>
      <c r="X26" s="37">
        <v>5</v>
      </c>
      <c r="Y26" s="37">
        <v>6</v>
      </c>
      <c r="Z26" s="37">
        <v>7</v>
      </c>
      <c r="AA26" s="37">
        <v>8</v>
      </c>
      <c r="AB26" s="37">
        <v>9</v>
      </c>
      <c r="AC26" s="37">
        <v>10</v>
      </c>
      <c r="AD26" s="37">
        <v>11</v>
      </c>
      <c r="AE26" s="37">
        <v>12</v>
      </c>
      <c r="AF26" s="37">
        <v>13</v>
      </c>
      <c r="AG26" s="37">
        <v>14</v>
      </c>
      <c r="AH26" s="37">
        <v>15</v>
      </c>
      <c r="AI26" s="37">
        <v>16</v>
      </c>
      <c r="AJ26" s="37">
        <v>17</v>
      </c>
      <c r="AK26" s="37">
        <v>18</v>
      </c>
      <c r="AL26" s="37">
        <v>19</v>
      </c>
      <c r="AM26" s="37">
        <v>20</v>
      </c>
      <c r="AN26" s="37">
        <v>21</v>
      </c>
      <c r="AO26" s="37">
        <v>22</v>
      </c>
      <c r="AP26" s="37">
        <v>23</v>
      </c>
      <c r="AQ26" s="37">
        <v>24</v>
      </c>
      <c r="AR26" s="37">
        <v>25</v>
      </c>
      <c r="AS26" s="37">
        <v>26</v>
      </c>
      <c r="AT26" s="37">
        <v>27</v>
      </c>
      <c r="AU26" s="37">
        <v>28</v>
      </c>
      <c r="AV26" s="37">
        <v>29</v>
      </c>
      <c r="AW26" s="37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46160</v>
      </c>
      <c r="B27" s="26" t="s">
        <v>50</v>
      </c>
      <c r="C27" s="222">
        <v>1</v>
      </c>
      <c r="D27" s="222">
        <v>2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43">
        <v>106666</v>
      </c>
      <c r="M27" s="140" t="s">
        <v>107</v>
      </c>
      <c r="N27" s="140" t="s">
        <v>87</v>
      </c>
      <c r="O27" s="139" t="s">
        <v>85</v>
      </c>
      <c r="P27" s="39">
        <v>90500</v>
      </c>
      <c r="Q27" s="40">
        <f>P27/L27</f>
        <v>0.84844280276751727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8</v>
      </c>
      <c r="AU27" s="41">
        <v>8</v>
      </c>
      <c r="AV27" s="41">
        <v>8</v>
      </c>
      <c r="AW27" s="41">
        <v>8</v>
      </c>
      <c r="AX27" s="42">
        <f>IF(AW27&gt;0,AVERAGE(T27:AW27),"")</f>
        <v>7.1333333333333337</v>
      </c>
      <c r="AY27" s="43">
        <f t="shared" ref="AY27:AY33" si="0">IF(AW27&gt;0,STDEV(T27:AW27),"")</f>
        <v>0.34574590364176039</v>
      </c>
      <c r="AZ27" s="42">
        <f>IF(AW27&gt;0,AY27/AX27*100,"")</f>
        <v>4.8469051912396308</v>
      </c>
      <c r="BA27" s="44" t="s">
        <v>67</v>
      </c>
      <c r="BB27" s="45"/>
      <c r="BC27" s="46"/>
      <c r="BD27" s="47">
        <f t="shared" ref="BD27:BD33" si="1">IF(AW27&gt;0,100-AZ27,"")</f>
        <v>95.153094808760372</v>
      </c>
    </row>
    <row r="28" spans="1:56" ht="18.75" thickBot="1" x14ac:dyDescent="0.3">
      <c r="A28" s="38">
        <f>A27+1</f>
        <v>46161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43">
        <v>106666</v>
      </c>
      <c r="M28" s="140" t="s">
        <v>107</v>
      </c>
      <c r="N28" s="140" t="s">
        <v>87</v>
      </c>
      <c r="O28" s="139" t="s">
        <v>85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>IF(AW28&gt;0,AVERAGE(T28:AW28),"")</f>
        <v>7.5</v>
      </c>
      <c r="AY28" s="43">
        <f>IF(AW28&gt;0,STDEV(T28:AW28),"")</f>
        <v>0.5085476277156078</v>
      </c>
      <c r="AZ28" s="42">
        <f t="shared" ref="AZ28:AZ33" si="2">IF(AW28&gt;0,AY28/AX28*100,"")</f>
        <v>6.7806350362081034</v>
      </c>
      <c r="BA28" s="44" t="s">
        <v>68</v>
      </c>
      <c r="BB28" s="45"/>
      <c r="BC28" s="46"/>
      <c r="BD28" s="47">
        <f t="shared" si="1"/>
        <v>93.21936496379189</v>
      </c>
    </row>
    <row r="29" spans="1:56" ht="18.75" thickBot="1" x14ac:dyDescent="0.3">
      <c r="A29" s="38">
        <f t="shared" ref="A29:A34" si="3">A28+1</f>
        <v>46162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43">
        <v>106666</v>
      </c>
      <c r="M29" s="140" t="s">
        <v>107</v>
      </c>
      <c r="N29" s="140" t="s">
        <v>87</v>
      </c>
      <c r="O29" s="139" t="s">
        <v>85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9</v>
      </c>
      <c r="AV29" s="41">
        <v>9</v>
      </c>
      <c r="AW29" s="41">
        <v>9</v>
      </c>
      <c r="AX29" s="42">
        <f t="shared" ref="AX29:AX33" si="4">IF(AW29&gt;0,AVERAGE(T29:AW29),"")</f>
        <v>8.1</v>
      </c>
      <c r="AY29" s="43">
        <f t="shared" si="0"/>
        <v>0.30512857662936466</v>
      </c>
      <c r="AZ29" s="42">
        <f t="shared" si="2"/>
        <v>3.7670194645600579</v>
      </c>
      <c r="BA29" s="44" t="s">
        <v>69</v>
      </c>
      <c r="BB29" s="45"/>
      <c r="BC29" s="46"/>
      <c r="BD29" s="47">
        <f t="shared" si="1"/>
        <v>96.232980535439935</v>
      </c>
    </row>
    <row r="30" spans="1:56" ht="18.75" thickBot="1" x14ac:dyDescent="0.3">
      <c r="A30" s="38">
        <f t="shared" si="3"/>
        <v>46163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43">
        <v>106666</v>
      </c>
      <c r="M30" s="140" t="s">
        <v>107</v>
      </c>
      <c r="N30" s="140" t="s">
        <v>87</v>
      </c>
      <c r="O30" s="139" t="s">
        <v>85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9</v>
      </c>
      <c r="Z30" s="41">
        <v>9</v>
      </c>
      <c r="AA30" s="41">
        <v>9</v>
      </c>
      <c r="AB30" s="41">
        <v>9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4"/>
        <v>8.8333333333333339</v>
      </c>
      <c r="AY30" s="43">
        <f t="shared" si="0"/>
        <v>0.37904902178945182</v>
      </c>
      <c r="AZ30" s="42">
        <f t="shared" si="2"/>
        <v>4.291121001390021</v>
      </c>
      <c r="BA30" s="44" t="s">
        <v>70</v>
      </c>
      <c r="BB30" s="48"/>
      <c r="BC30" s="46"/>
      <c r="BD30" s="47">
        <f t="shared" si="1"/>
        <v>95.708878998609975</v>
      </c>
    </row>
    <row r="31" spans="1:56" ht="18.75" thickBot="1" x14ac:dyDescent="0.3">
      <c r="A31" s="38">
        <f t="shared" si="3"/>
        <v>46164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43">
        <v>106666</v>
      </c>
      <c r="M31" s="140" t="s">
        <v>107</v>
      </c>
      <c r="N31" s="140" t="s">
        <v>87</v>
      </c>
      <c r="O31" s="139" t="s">
        <v>85</v>
      </c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9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4"/>
        <v>9.1333333333333329</v>
      </c>
      <c r="AY31" s="43">
        <f t="shared" si="0"/>
        <v>0.34574590364176039</v>
      </c>
      <c r="AZ31" s="42">
        <f t="shared" si="2"/>
        <v>3.7855390909681796</v>
      </c>
      <c r="BA31" s="44" t="s">
        <v>71</v>
      </c>
      <c r="BB31" s="48"/>
      <c r="BC31" s="49"/>
      <c r="BD31" s="47">
        <f t="shared" si="1"/>
        <v>96.214460909031814</v>
      </c>
    </row>
    <row r="32" spans="1:56" ht="18.75" thickBot="1" x14ac:dyDescent="0.3">
      <c r="A32" s="38">
        <f t="shared" si="3"/>
        <v>46165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43">
        <v>106666</v>
      </c>
      <c r="M32" s="140" t="s">
        <v>107</v>
      </c>
      <c r="N32" s="140" t="s">
        <v>87</v>
      </c>
      <c r="O32" s="139" t="s">
        <v>85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10</v>
      </c>
      <c r="AE32" s="41">
        <v>10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11</v>
      </c>
      <c r="AW32" s="41">
        <v>11</v>
      </c>
      <c r="AX32" s="42">
        <f t="shared" si="4"/>
        <v>9.7333333333333325</v>
      </c>
      <c r="AY32" s="43">
        <f t="shared" si="0"/>
        <v>0.58329228098567465</v>
      </c>
      <c r="AZ32" s="42">
        <f t="shared" si="2"/>
        <v>5.992728914236384</v>
      </c>
      <c r="BA32" s="44" t="s">
        <v>72</v>
      </c>
      <c r="BB32" s="48"/>
      <c r="BC32" s="49"/>
      <c r="BD32" s="47">
        <f t="shared" si="1"/>
        <v>94.00727108576362</v>
      </c>
    </row>
    <row r="33" spans="1:56" ht="18.75" thickBot="1" x14ac:dyDescent="0.3">
      <c r="A33" s="38">
        <f t="shared" si="3"/>
        <v>46166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43">
        <v>106666</v>
      </c>
      <c r="M33" s="140" t="s">
        <v>107</v>
      </c>
      <c r="N33" s="140" t="s">
        <v>87</v>
      </c>
      <c r="O33" s="139" t="s">
        <v>85</v>
      </c>
      <c r="P33" s="40"/>
      <c r="Q33" s="40"/>
      <c r="R33" s="39"/>
      <c r="S33" s="40"/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11</v>
      </c>
      <c r="AH33" s="41">
        <v>11</v>
      </c>
      <c r="AI33" s="41">
        <v>11</v>
      </c>
      <c r="AJ33" s="41">
        <v>11</v>
      </c>
      <c r="AK33" s="41">
        <v>11</v>
      </c>
      <c r="AL33" s="41">
        <v>11</v>
      </c>
      <c r="AM33" s="41">
        <v>11</v>
      </c>
      <c r="AN33" s="41">
        <v>11</v>
      </c>
      <c r="AO33" s="41">
        <v>11</v>
      </c>
      <c r="AP33" s="41">
        <v>11</v>
      </c>
      <c r="AQ33" s="41">
        <v>11</v>
      </c>
      <c r="AR33" s="41">
        <v>11</v>
      </c>
      <c r="AS33" s="41">
        <v>11</v>
      </c>
      <c r="AT33" s="41">
        <v>12</v>
      </c>
      <c r="AU33" s="41">
        <v>12</v>
      </c>
      <c r="AV33" s="41">
        <v>12</v>
      </c>
      <c r="AW33" s="41">
        <v>12</v>
      </c>
      <c r="AX33" s="42">
        <f t="shared" si="4"/>
        <v>10.533333333333333</v>
      </c>
      <c r="AY33" s="43">
        <f t="shared" si="0"/>
        <v>0.93710240611164253</v>
      </c>
      <c r="AZ33" s="42">
        <f t="shared" si="2"/>
        <v>8.8965418301738222</v>
      </c>
      <c r="BA33" s="44" t="s">
        <v>73</v>
      </c>
      <c r="BB33" s="48"/>
      <c r="BC33" s="49"/>
      <c r="BD33" s="47">
        <f t="shared" si="1"/>
        <v>91.103458169826183</v>
      </c>
    </row>
    <row r="34" spans="1:56" ht="18.75" thickBot="1" x14ac:dyDescent="0.3">
      <c r="A34" s="38">
        <f t="shared" si="3"/>
        <v>46167</v>
      </c>
      <c r="B34" s="26" t="s">
        <v>50</v>
      </c>
      <c r="E34" s="219"/>
      <c r="F34" s="220"/>
      <c r="G34" s="51"/>
      <c r="H34" s="51"/>
      <c r="I34" s="51"/>
      <c r="J34" s="55"/>
      <c r="K34" s="56"/>
      <c r="L34" s="143">
        <v>106666</v>
      </c>
      <c r="M34" s="140" t="s">
        <v>107</v>
      </c>
      <c r="N34" s="140" t="s">
        <v>87</v>
      </c>
      <c r="O34" s="139" t="s">
        <v>85</v>
      </c>
      <c r="P34" s="40"/>
      <c r="Q34" s="40"/>
      <c r="R34" s="39">
        <v>97950</v>
      </c>
      <c r="S34" s="40">
        <f>R34/L34</f>
        <v>0.91828698929368313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ref="AX34" si="5">IF(AW34&gt;0,AVERAGE(T34:AW34),"")</f>
        <v/>
      </c>
      <c r="AY34" s="43" t="str">
        <f t="shared" ref="AY34" si="6">IF(AW34&gt;0,STDEV(T34:AW34),"")</f>
        <v/>
      </c>
      <c r="AZ34" s="42" t="str">
        <f t="shared" ref="AZ34" si="7">IF(AW34&gt;0,AY34/AX34*100,"")</f>
        <v/>
      </c>
      <c r="BA34" s="44" t="s">
        <v>82</v>
      </c>
      <c r="BB34" s="48"/>
      <c r="BC34" s="49"/>
      <c r="BD34" s="47" t="str">
        <f t="shared" ref="BD34" si="8">IF(AW34&gt;0,100-AZ34,"")</f>
        <v/>
      </c>
    </row>
  </sheetData>
  <mergeCells count="31"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E26:F26"/>
    <mergeCell ref="A22:A23"/>
    <mergeCell ref="C22:C25"/>
    <mergeCell ref="A24:A25"/>
    <mergeCell ref="D2:D20"/>
    <mergeCell ref="A3:A4"/>
    <mergeCell ref="C3:C20"/>
    <mergeCell ref="A5:A6"/>
    <mergeCell ref="A7:A8"/>
    <mergeCell ref="A19:A20"/>
    <mergeCell ref="A9:A10"/>
    <mergeCell ref="A11:A12"/>
    <mergeCell ref="A13:A14"/>
    <mergeCell ref="A15:A16"/>
    <mergeCell ref="A17:A18"/>
  </mergeCells>
  <pageMargins left="0.7" right="0.7" top="0.75" bottom="0.75" header="0.3" footer="0.3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34"/>
  <sheetViews>
    <sheetView topLeftCell="A7" zoomScale="60" zoomScaleNormal="60" workbookViewId="0">
      <selection activeCell="P27" sqref="P27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46149</v>
      </c>
      <c r="B3" s="26" t="s">
        <v>50</v>
      </c>
      <c r="C3" s="218">
        <v>2</v>
      </c>
      <c r="D3" s="217"/>
      <c r="E3" s="50"/>
      <c r="F3" s="51"/>
      <c r="G3" s="51"/>
      <c r="H3" s="51"/>
      <c r="I3" s="54"/>
      <c r="J3" s="52"/>
      <c r="K3" s="53"/>
      <c r="L3" s="143">
        <v>100000</v>
      </c>
      <c r="M3" s="140" t="s">
        <v>108</v>
      </c>
      <c r="N3" s="140" t="s">
        <v>87</v>
      </c>
      <c r="O3" s="139" t="s">
        <v>85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100</v>
      </c>
      <c r="J4" s="55" t="s">
        <v>84</v>
      </c>
      <c r="K4" s="56" t="s">
        <v>129</v>
      </c>
      <c r="L4" s="143">
        <v>100000</v>
      </c>
      <c r="M4" s="140" t="s">
        <v>108</v>
      </c>
      <c r="N4" s="140" t="s">
        <v>87</v>
      </c>
      <c r="O4" s="139" t="s">
        <v>85</v>
      </c>
    </row>
    <row r="5" spans="1:23" ht="18.75" thickBot="1" x14ac:dyDescent="0.3">
      <c r="A5" s="215">
        <v>46150</v>
      </c>
      <c r="B5" s="26" t="s">
        <v>50</v>
      </c>
      <c r="C5" s="218"/>
      <c r="D5" s="217"/>
      <c r="E5" s="50" t="s">
        <v>83</v>
      </c>
      <c r="F5" s="51"/>
      <c r="G5" s="51"/>
      <c r="H5" s="51"/>
      <c r="I5" s="54" t="s">
        <v>136</v>
      </c>
      <c r="J5" s="55" t="s">
        <v>95</v>
      </c>
      <c r="K5" s="56" t="s">
        <v>129</v>
      </c>
      <c r="L5" s="143">
        <v>100000</v>
      </c>
      <c r="M5" s="140" t="s">
        <v>108</v>
      </c>
      <c r="N5" s="140" t="s">
        <v>87</v>
      </c>
      <c r="O5" s="139" t="s">
        <v>85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141</v>
      </c>
      <c r="J6" s="55" t="s">
        <v>84</v>
      </c>
      <c r="K6" s="56" t="s">
        <v>129</v>
      </c>
      <c r="L6" s="143">
        <v>100000</v>
      </c>
      <c r="M6" s="140" t="s">
        <v>108</v>
      </c>
      <c r="N6" s="140" t="s">
        <v>87</v>
      </c>
      <c r="O6" s="139" t="s">
        <v>85</v>
      </c>
    </row>
    <row r="7" spans="1:23" ht="18.75" thickBot="1" x14ac:dyDescent="0.3">
      <c r="A7" s="215">
        <v>46151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135</v>
      </c>
      <c r="J7" s="55" t="s">
        <v>84</v>
      </c>
      <c r="K7" s="56"/>
      <c r="L7" s="143">
        <v>100000</v>
      </c>
      <c r="M7" s="140" t="s">
        <v>108</v>
      </c>
      <c r="N7" s="140" t="s">
        <v>87</v>
      </c>
      <c r="O7" s="139" t="s">
        <v>85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181</v>
      </c>
      <c r="J8" s="55" t="s">
        <v>84</v>
      </c>
      <c r="K8" s="56"/>
      <c r="L8" s="143">
        <v>100000</v>
      </c>
      <c r="M8" s="140" t="s">
        <v>108</v>
      </c>
      <c r="N8" s="140" t="s">
        <v>87</v>
      </c>
      <c r="O8" s="139" t="s">
        <v>85</v>
      </c>
    </row>
    <row r="9" spans="1:23" ht="18.75" thickBot="1" x14ac:dyDescent="0.3">
      <c r="A9" s="215">
        <v>46152</v>
      </c>
      <c r="B9" s="26" t="s">
        <v>50</v>
      </c>
      <c r="C9" s="218"/>
      <c r="D9" s="217"/>
      <c r="E9" s="50" t="s">
        <v>195</v>
      </c>
      <c r="F9" s="57"/>
      <c r="G9" s="51">
        <v>0.03</v>
      </c>
      <c r="H9" s="51"/>
      <c r="I9" s="54" t="s">
        <v>197</v>
      </c>
      <c r="J9" s="55" t="s">
        <v>84</v>
      </c>
      <c r="K9" s="56"/>
      <c r="L9" s="143">
        <v>100000</v>
      </c>
      <c r="M9" s="140" t="s">
        <v>108</v>
      </c>
      <c r="N9" s="140" t="s">
        <v>87</v>
      </c>
      <c r="O9" s="139" t="s">
        <v>85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197</v>
      </c>
      <c r="J10" s="55" t="s">
        <v>84</v>
      </c>
      <c r="K10" s="56"/>
      <c r="L10" s="143">
        <v>100000</v>
      </c>
      <c r="M10" s="140" t="s">
        <v>108</v>
      </c>
      <c r="N10" s="140" t="s">
        <v>87</v>
      </c>
      <c r="O10" s="139" t="s">
        <v>85</v>
      </c>
    </row>
    <row r="11" spans="1:23" ht="18.75" thickBot="1" x14ac:dyDescent="0.3">
      <c r="A11" s="215">
        <v>46153</v>
      </c>
      <c r="B11" s="26" t="s">
        <v>50</v>
      </c>
      <c r="C11" s="218"/>
      <c r="D11" s="217"/>
      <c r="E11" s="50" t="s">
        <v>244</v>
      </c>
      <c r="F11" s="57"/>
      <c r="G11" s="51">
        <v>0.08</v>
      </c>
      <c r="H11" s="51"/>
      <c r="I11" s="54" t="s">
        <v>250</v>
      </c>
      <c r="J11" s="55" t="s">
        <v>84</v>
      </c>
      <c r="K11" s="56"/>
      <c r="L11" s="143">
        <v>100000</v>
      </c>
      <c r="M11" s="140" t="s">
        <v>108</v>
      </c>
      <c r="N11" s="140" t="s">
        <v>87</v>
      </c>
      <c r="O11" s="139" t="s">
        <v>85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251</v>
      </c>
      <c r="J12" s="55" t="s">
        <v>84</v>
      </c>
      <c r="K12" s="56"/>
      <c r="L12" s="143">
        <v>100000</v>
      </c>
      <c r="M12" s="140" t="s">
        <v>108</v>
      </c>
      <c r="N12" s="140" t="s">
        <v>87</v>
      </c>
      <c r="O12" s="139" t="s">
        <v>85</v>
      </c>
      <c r="W12" t="s">
        <v>63</v>
      </c>
    </row>
    <row r="13" spans="1:23" ht="18.75" thickBot="1" x14ac:dyDescent="0.3">
      <c r="A13" s="215">
        <v>46154</v>
      </c>
      <c r="B13" s="26" t="s">
        <v>50</v>
      </c>
      <c r="C13" s="218"/>
      <c r="D13" s="217"/>
      <c r="E13" s="50" t="s">
        <v>267</v>
      </c>
      <c r="F13" s="57"/>
      <c r="G13" s="51">
        <v>0.06</v>
      </c>
      <c r="H13" s="51"/>
      <c r="I13" s="54"/>
      <c r="J13" s="55" t="s">
        <v>84</v>
      </c>
      <c r="K13" s="56"/>
      <c r="L13" s="143">
        <v>100000</v>
      </c>
      <c r="M13" s="140" t="s">
        <v>108</v>
      </c>
      <c r="N13" s="140" t="s">
        <v>87</v>
      </c>
      <c r="O13" s="139" t="s">
        <v>85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284</v>
      </c>
      <c r="F14" s="57"/>
      <c r="G14" s="51"/>
      <c r="H14" s="51"/>
      <c r="I14" s="54"/>
      <c r="J14" s="55" t="s">
        <v>84</v>
      </c>
      <c r="K14" s="56"/>
      <c r="L14" s="143">
        <v>100000</v>
      </c>
      <c r="M14" s="140" t="s">
        <v>108</v>
      </c>
      <c r="N14" s="140" t="s">
        <v>87</v>
      </c>
      <c r="O14" s="139" t="s">
        <v>85</v>
      </c>
    </row>
    <row r="15" spans="1:23" ht="18.75" thickBot="1" x14ac:dyDescent="0.3">
      <c r="A15" s="215">
        <v>46155</v>
      </c>
      <c r="B15" s="26" t="s">
        <v>50</v>
      </c>
      <c r="C15" s="218"/>
      <c r="D15" s="217"/>
      <c r="E15" s="50" t="s">
        <v>295</v>
      </c>
      <c r="F15" s="57"/>
      <c r="G15" s="58">
        <v>0.03</v>
      </c>
      <c r="H15" s="51"/>
      <c r="I15" s="54"/>
      <c r="J15" s="55" t="s">
        <v>84</v>
      </c>
      <c r="K15" s="56"/>
      <c r="L15" s="143">
        <v>100000</v>
      </c>
      <c r="M15" s="140" t="s">
        <v>108</v>
      </c>
      <c r="N15" s="140" t="s">
        <v>87</v>
      </c>
      <c r="O15" s="139" t="s">
        <v>85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308</v>
      </c>
      <c r="F16" s="57"/>
      <c r="G16" s="58"/>
      <c r="H16" s="51"/>
      <c r="I16" s="54"/>
      <c r="J16" s="55" t="s">
        <v>84</v>
      </c>
      <c r="K16" s="56"/>
      <c r="L16" s="143">
        <v>100000</v>
      </c>
      <c r="M16" s="140" t="s">
        <v>108</v>
      </c>
      <c r="N16" s="140" t="s">
        <v>87</v>
      </c>
      <c r="O16" s="139" t="s">
        <v>85</v>
      </c>
    </row>
    <row r="17" spans="1:56" ht="18.75" thickBot="1" x14ac:dyDescent="0.3">
      <c r="A17" s="215">
        <v>46156</v>
      </c>
      <c r="B17" s="26" t="s">
        <v>50</v>
      </c>
      <c r="C17" s="218"/>
      <c r="D17" s="217"/>
      <c r="E17" s="50" t="s">
        <v>314</v>
      </c>
      <c r="F17" s="57"/>
      <c r="G17" s="58"/>
      <c r="H17" s="51"/>
      <c r="I17" s="54"/>
      <c r="J17" s="55" t="s">
        <v>84</v>
      </c>
      <c r="K17" s="56" t="s">
        <v>315</v>
      </c>
      <c r="L17" s="143">
        <v>100000</v>
      </c>
      <c r="M17" s="140" t="s">
        <v>108</v>
      </c>
      <c r="N17" s="140" t="s">
        <v>87</v>
      </c>
      <c r="O17" s="139" t="s">
        <v>85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/>
      <c r="H18" s="51"/>
      <c r="I18" s="54"/>
      <c r="J18" s="55" t="s">
        <v>84</v>
      </c>
      <c r="K18" s="56" t="s">
        <v>315</v>
      </c>
      <c r="L18" s="143">
        <v>100000</v>
      </c>
      <c r="M18" s="140" t="s">
        <v>108</v>
      </c>
      <c r="N18" s="140" t="s">
        <v>87</v>
      </c>
      <c r="O18" s="139" t="s">
        <v>85</v>
      </c>
    </row>
    <row r="19" spans="1:56" ht="18.75" thickBot="1" x14ac:dyDescent="0.3">
      <c r="A19" s="215">
        <v>46157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6" t="s">
        <v>315</v>
      </c>
      <c r="L19" s="143">
        <v>100000</v>
      </c>
      <c r="M19" s="140" t="s">
        <v>108</v>
      </c>
      <c r="N19" s="140" t="s">
        <v>87</v>
      </c>
      <c r="O19" s="139" t="s">
        <v>85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>
        <v>0.03</v>
      </c>
      <c r="H20" s="51"/>
      <c r="I20" s="54"/>
      <c r="J20" s="55" t="s">
        <v>84</v>
      </c>
      <c r="K20" s="56" t="s">
        <v>315</v>
      </c>
      <c r="L20" s="143">
        <v>100000</v>
      </c>
      <c r="M20" s="140" t="s">
        <v>108</v>
      </c>
      <c r="N20" s="140" t="s">
        <v>87</v>
      </c>
      <c r="O20" s="139" t="s">
        <v>85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43">
        <v>100000</v>
      </c>
      <c r="M21" s="140" t="s">
        <v>108</v>
      </c>
      <c r="N21" s="140" t="s">
        <v>87</v>
      </c>
      <c r="O21" s="139" t="s">
        <v>85</v>
      </c>
    </row>
    <row r="22" spans="1:56" ht="18.75" thickBot="1" x14ac:dyDescent="0.3">
      <c r="A22" s="215">
        <f>A19+1</f>
        <v>46158</v>
      </c>
      <c r="B22" s="26" t="s">
        <v>50</v>
      </c>
      <c r="C22" s="216">
        <v>2</v>
      </c>
      <c r="D22" s="34"/>
      <c r="E22" s="50" t="s">
        <v>314</v>
      </c>
      <c r="F22" s="57"/>
      <c r="G22" s="58">
        <v>0.03</v>
      </c>
      <c r="H22" s="51"/>
      <c r="I22" s="54"/>
      <c r="J22" s="55" t="s">
        <v>84</v>
      </c>
      <c r="K22" s="56" t="s">
        <v>315</v>
      </c>
      <c r="L22" s="143">
        <v>100000</v>
      </c>
      <c r="M22" s="140" t="s">
        <v>108</v>
      </c>
      <c r="N22" s="140" t="s">
        <v>87</v>
      </c>
      <c r="O22" s="139" t="s">
        <v>85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 t="s">
        <v>315</v>
      </c>
      <c r="L23" s="143">
        <v>100000</v>
      </c>
      <c r="M23" s="140" t="s">
        <v>108</v>
      </c>
      <c r="N23" s="140" t="s">
        <v>87</v>
      </c>
      <c r="O23" s="139" t="s">
        <v>85</v>
      </c>
    </row>
    <row r="24" spans="1:56" ht="18.75" thickBot="1" x14ac:dyDescent="0.3">
      <c r="A24" s="215">
        <f>A22+1</f>
        <v>46159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43">
        <v>100000</v>
      </c>
      <c r="M24" s="140" t="s">
        <v>108</v>
      </c>
      <c r="N24" s="140" t="s">
        <v>87</v>
      </c>
      <c r="O24" s="139" t="s">
        <v>85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43">
        <v>100000</v>
      </c>
      <c r="M25" s="140" t="s">
        <v>108</v>
      </c>
      <c r="N25" s="140" t="s">
        <v>87</v>
      </c>
      <c r="O25" s="139" t="s">
        <v>85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46160</v>
      </c>
      <c r="B27" s="26" t="s">
        <v>50</v>
      </c>
      <c r="C27" s="222">
        <v>2</v>
      </c>
      <c r="D27" s="222"/>
      <c r="E27" s="219"/>
      <c r="F27" s="220"/>
      <c r="G27" s="51"/>
      <c r="H27" s="51"/>
      <c r="I27" s="51"/>
      <c r="J27" s="55"/>
      <c r="K27" s="56"/>
      <c r="L27" s="143">
        <v>100000</v>
      </c>
      <c r="M27" s="140" t="s">
        <v>108</v>
      </c>
      <c r="N27" s="140" t="s">
        <v>87</v>
      </c>
      <c r="O27" s="139" t="s">
        <v>85</v>
      </c>
      <c r="P27" s="39">
        <v>47000</v>
      </c>
      <c r="Q27" s="40">
        <f>P27/L27</f>
        <v>0.47</v>
      </c>
      <c r="R27" s="40"/>
      <c r="S27" s="40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2" t="str">
        <f>IF(AW27&gt;0,AVERAGE(T27:AW27),"")</f>
        <v/>
      </c>
      <c r="AY27" s="43" t="str">
        <f t="shared" ref="AY27:AY34" si="0">IF(AW27&gt;0,STDEV(T27:AW27),"")</f>
        <v/>
      </c>
      <c r="AZ27" s="42" t="str">
        <f>IF(AW27&gt;0,AY27/AX27*100,"")</f>
        <v/>
      </c>
      <c r="BA27" s="44" t="s">
        <v>67</v>
      </c>
      <c r="BB27" s="45"/>
      <c r="BC27" s="46"/>
      <c r="BD27" s="47" t="str">
        <f t="shared" ref="BD27:BD34" si="1">IF(AW27&gt;0,100-AZ27,"")</f>
        <v/>
      </c>
    </row>
    <row r="28" spans="1:56" ht="18.75" thickBot="1" x14ac:dyDescent="0.3">
      <c r="A28" s="38">
        <f>A27+1</f>
        <v>46161</v>
      </c>
      <c r="B28" s="26" t="s">
        <v>50</v>
      </c>
      <c r="C28" s="223"/>
      <c r="D28" s="223"/>
      <c r="E28" s="219"/>
      <c r="F28" s="220"/>
      <c r="G28" s="51"/>
      <c r="H28" s="51"/>
      <c r="I28" s="51"/>
      <c r="J28" s="55"/>
      <c r="K28" s="56"/>
      <c r="L28" s="143">
        <v>100000</v>
      </c>
      <c r="M28" s="140" t="s">
        <v>108</v>
      </c>
      <c r="N28" s="140" t="s">
        <v>87</v>
      </c>
      <c r="O28" s="139" t="s">
        <v>85</v>
      </c>
      <c r="P28" s="40"/>
      <c r="Q28" s="40"/>
      <c r="R28" s="40"/>
      <c r="S28" s="40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2" t="str">
        <f>IF(AW28&gt;0,AVERAGE(T28:AW28),"")</f>
        <v/>
      </c>
      <c r="AY28" s="43" t="str">
        <f>IF(AW28&gt;0,STDEV(T28:AW28),"")</f>
        <v/>
      </c>
      <c r="AZ28" s="42" t="str">
        <f t="shared" ref="AZ28:AZ34" si="2">IF(AW28&gt;0,AY28/AX28*100,"")</f>
        <v/>
      </c>
      <c r="BA28" s="44" t="s">
        <v>68</v>
      </c>
      <c r="BB28" s="45"/>
      <c r="BC28" s="46"/>
      <c r="BD28" s="47" t="str">
        <f t="shared" si="1"/>
        <v/>
      </c>
    </row>
    <row r="29" spans="1:56" ht="18.75" thickBot="1" x14ac:dyDescent="0.3">
      <c r="A29" s="38">
        <f t="shared" ref="A29:A34" si="3">A28+1</f>
        <v>46162</v>
      </c>
      <c r="B29" s="26" t="s">
        <v>50</v>
      </c>
      <c r="C29" s="223"/>
      <c r="D29" s="223"/>
      <c r="E29" s="219"/>
      <c r="F29" s="220"/>
      <c r="G29" s="51"/>
      <c r="H29" s="51"/>
      <c r="I29" s="51"/>
      <c r="J29" s="55"/>
      <c r="K29" s="56"/>
      <c r="L29" s="143">
        <v>100000</v>
      </c>
      <c r="M29" s="140" t="s">
        <v>108</v>
      </c>
      <c r="N29" s="140" t="s">
        <v>87</v>
      </c>
      <c r="O29" s="139" t="s">
        <v>85</v>
      </c>
      <c r="P29" s="40"/>
      <c r="Q29" s="40"/>
      <c r="R29" s="40"/>
      <c r="S29" s="40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2" t="str">
        <f t="shared" ref="AX29:AX34" si="4">IF(AW29&gt;0,AVERAGE(T29:AW29),"")</f>
        <v/>
      </c>
      <c r="AY29" s="43" t="str">
        <f t="shared" si="0"/>
        <v/>
      </c>
      <c r="AZ29" s="42" t="str">
        <f t="shared" si="2"/>
        <v/>
      </c>
      <c r="BA29" s="44" t="s">
        <v>69</v>
      </c>
      <c r="BB29" s="45"/>
      <c r="BC29" s="46"/>
      <c r="BD29" s="47" t="str">
        <f t="shared" si="1"/>
        <v/>
      </c>
    </row>
    <row r="30" spans="1:56" ht="18.75" thickBot="1" x14ac:dyDescent="0.3">
      <c r="A30" s="38">
        <f t="shared" si="3"/>
        <v>46163</v>
      </c>
      <c r="B30" s="26" t="s">
        <v>50</v>
      </c>
      <c r="C30" s="223"/>
      <c r="D30" s="223"/>
      <c r="E30" s="219"/>
      <c r="F30" s="220"/>
      <c r="G30" s="51"/>
      <c r="H30" s="51"/>
      <c r="I30" s="51"/>
      <c r="J30" s="55"/>
      <c r="K30" s="56"/>
      <c r="L30" s="143">
        <v>100000</v>
      </c>
      <c r="M30" s="140" t="s">
        <v>108</v>
      </c>
      <c r="N30" s="140" t="s">
        <v>87</v>
      </c>
      <c r="O30" s="139" t="s">
        <v>85</v>
      </c>
      <c r="P30" s="40"/>
      <c r="Q30" s="40"/>
      <c r="R30" s="40"/>
      <c r="S30" s="40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2" t="str">
        <f t="shared" si="4"/>
        <v/>
      </c>
      <c r="AY30" s="43" t="str">
        <f t="shared" si="0"/>
        <v/>
      </c>
      <c r="AZ30" s="42" t="str">
        <f t="shared" si="2"/>
        <v/>
      </c>
      <c r="BA30" s="44" t="s">
        <v>70</v>
      </c>
      <c r="BB30" s="48"/>
      <c r="BC30" s="46"/>
      <c r="BD30" s="47" t="str">
        <f t="shared" si="1"/>
        <v/>
      </c>
    </row>
    <row r="31" spans="1:56" ht="18.75" thickBot="1" x14ac:dyDescent="0.3">
      <c r="A31" s="38">
        <f t="shared" si="3"/>
        <v>46164</v>
      </c>
      <c r="B31" s="26" t="s">
        <v>50</v>
      </c>
      <c r="C31" s="223"/>
      <c r="D31" s="223"/>
      <c r="E31" s="219"/>
      <c r="F31" s="220"/>
      <c r="G31" s="51"/>
      <c r="H31" s="51"/>
      <c r="I31" s="51"/>
      <c r="J31" s="55"/>
      <c r="K31" s="56"/>
      <c r="L31" s="143">
        <v>100000</v>
      </c>
      <c r="M31" s="140" t="s">
        <v>108</v>
      </c>
      <c r="N31" s="140" t="s">
        <v>87</v>
      </c>
      <c r="O31" s="139" t="s">
        <v>85</v>
      </c>
      <c r="P31" s="40"/>
      <c r="Q31" s="40"/>
      <c r="R31" s="40"/>
      <c r="S31" s="40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2" t="str">
        <f t="shared" si="4"/>
        <v/>
      </c>
      <c r="AY31" s="43" t="str">
        <f t="shared" si="0"/>
        <v/>
      </c>
      <c r="AZ31" s="42" t="str">
        <f t="shared" si="2"/>
        <v/>
      </c>
      <c r="BA31" s="44" t="s">
        <v>71</v>
      </c>
      <c r="BB31" s="48"/>
      <c r="BC31" s="49"/>
      <c r="BD31" s="47" t="str">
        <f t="shared" si="1"/>
        <v/>
      </c>
    </row>
    <row r="32" spans="1:56" ht="18.75" thickBot="1" x14ac:dyDescent="0.3">
      <c r="A32" s="38">
        <f t="shared" si="3"/>
        <v>46165</v>
      </c>
      <c r="B32" s="26" t="s">
        <v>50</v>
      </c>
      <c r="C32" s="223"/>
      <c r="D32" s="223"/>
      <c r="E32" s="219"/>
      <c r="F32" s="220"/>
      <c r="G32" s="51"/>
      <c r="H32" s="51"/>
      <c r="I32" s="51"/>
      <c r="J32" s="55"/>
      <c r="K32" s="56"/>
      <c r="L32" s="143">
        <v>100000</v>
      </c>
      <c r="M32" s="140" t="s">
        <v>108</v>
      </c>
      <c r="N32" s="140" t="s">
        <v>87</v>
      </c>
      <c r="O32" s="139" t="s">
        <v>85</v>
      </c>
      <c r="P32" s="40"/>
      <c r="Q32" s="40"/>
      <c r="R32" s="40"/>
      <c r="S32" s="40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2" t="str">
        <f t="shared" si="4"/>
        <v/>
      </c>
      <c r="AY32" s="43" t="str">
        <f t="shared" si="0"/>
        <v/>
      </c>
      <c r="AZ32" s="42" t="str">
        <f t="shared" si="2"/>
        <v/>
      </c>
      <c r="BA32" s="44" t="s">
        <v>72</v>
      </c>
      <c r="BB32" s="48"/>
      <c r="BC32" s="49"/>
      <c r="BD32" s="47" t="str">
        <f t="shared" si="1"/>
        <v/>
      </c>
    </row>
    <row r="33" spans="1:56" ht="18.75" thickBot="1" x14ac:dyDescent="0.3">
      <c r="A33" s="38">
        <f t="shared" si="3"/>
        <v>46166</v>
      </c>
      <c r="B33" s="26" t="s">
        <v>50</v>
      </c>
      <c r="C33" s="224"/>
      <c r="D33" s="224"/>
      <c r="E33" s="219"/>
      <c r="F33" s="220"/>
      <c r="G33" s="51"/>
      <c r="H33" s="51"/>
      <c r="I33" s="51"/>
      <c r="J33" s="55"/>
      <c r="K33" s="56"/>
      <c r="L33" s="143">
        <v>100000</v>
      </c>
      <c r="M33" s="140" t="s">
        <v>108</v>
      </c>
      <c r="N33" s="140" t="s">
        <v>87</v>
      </c>
      <c r="O33" s="139" t="s">
        <v>85</v>
      </c>
      <c r="P33" s="40"/>
      <c r="Q33" s="40"/>
      <c r="R33" s="39"/>
      <c r="S33" s="40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2" t="str">
        <f t="shared" si="4"/>
        <v/>
      </c>
      <c r="AY33" s="43" t="str">
        <f t="shared" si="0"/>
        <v/>
      </c>
      <c r="AZ33" s="42" t="str">
        <f t="shared" si="2"/>
        <v/>
      </c>
      <c r="BA33" s="44" t="s">
        <v>73</v>
      </c>
      <c r="BB33" s="48"/>
      <c r="BC33" s="49"/>
      <c r="BD33" s="47" t="str">
        <f t="shared" si="1"/>
        <v/>
      </c>
    </row>
    <row r="34" spans="1:56" ht="18.75" thickBot="1" x14ac:dyDescent="0.3">
      <c r="A34" s="38">
        <f t="shared" si="3"/>
        <v>46167</v>
      </c>
      <c r="B34" s="26" t="s">
        <v>50</v>
      </c>
      <c r="E34" s="219"/>
      <c r="F34" s="220"/>
      <c r="G34" s="51"/>
      <c r="H34" s="51"/>
      <c r="I34" s="51"/>
      <c r="J34" s="55"/>
      <c r="K34" s="56"/>
      <c r="L34" s="143">
        <v>100000</v>
      </c>
      <c r="M34" s="140" t="s">
        <v>108</v>
      </c>
      <c r="N34" s="140" t="s">
        <v>87</v>
      </c>
      <c r="O34" s="139" t="s">
        <v>85</v>
      </c>
      <c r="P34" s="40"/>
      <c r="Q34" s="40"/>
      <c r="R34" s="39"/>
      <c r="S34" s="40">
        <f>R34/L34</f>
        <v>0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4"/>
        <v/>
      </c>
      <c r="AY34" s="43" t="str">
        <f t="shared" si="0"/>
        <v/>
      </c>
      <c r="AZ34" s="42" t="str">
        <f t="shared" si="2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34"/>
  <sheetViews>
    <sheetView topLeftCell="J13" zoomScale="60" zoomScaleNormal="60" workbookViewId="0">
      <selection activeCell="T33" sqref="T33:AW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46149</v>
      </c>
      <c r="B3" s="26" t="s">
        <v>50</v>
      </c>
      <c r="C3" s="218">
        <v>3</v>
      </c>
      <c r="D3" s="217"/>
      <c r="E3" s="50"/>
      <c r="F3" s="51"/>
      <c r="G3" s="51"/>
      <c r="H3" s="51"/>
      <c r="I3" s="54"/>
      <c r="J3" s="52"/>
      <c r="K3" s="53"/>
      <c r="L3" s="143">
        <v>102500</v>
      </c>
      <c r="M3" s="140" t="s">
        <v>109</v>
      </c>
      <c r="N3" s="140" t="s">
        <v>89</v>
      </c>
      <c r="O3" s="139" t="s">
        <v>85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101</v>
      </c>
      <c r="J4" s="55" t="s">
        <v>84</v>
      </c>
      <c r="K4" s="56"/>
      <c r="L4" s="143">
        <v>102500</v>
      </c>
      <c r="M4" s="140" t="s">
        <v>109</v>
      </c>
      <c r="N4" s="140" t="s">
        <v>89</v>
      </c>
      <c r="O4" s="139" t="s">
        <v>85</v>
      </c>
    </row>
    <row r="5" spans="1:23" ht="18.75" thickBot="1" x14ac:dyDescent="0.3">
      <c r="A5" s="215">
        <v>46150</v>
      </c>
      <c r="B5" s="26" t="s">
        <v>50</v>
      </c>
      <c r="C5" s="218"/>
      <c r="D5" s="217"/>
      <c r="E5" s="50" t="s">
        <v>83</v>
      </c>
      <c r="F5" s="51"/>
      <c r="G5" s="51"/>
      <c r="H5" s="51"/>
      <c r="I5" s="54" t="s">
        <v>137</v>
      </c>
      <c r="J5" s="55" t="s">
        <v>84</v>
      </c>
      <c r="K5" s="56"/>
      <c r="L5" s="143">
        <v>102500</v>
      </c>
      <c r="M5" s="140" t="s">
        <v>109</v>
      </c>
      <c r="N5" s="140" t="s">
        <v>89</v>
      </c>
      <c r="O5" s="139" t="s">
        <v>85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148</v>
      </c>
      <c r="J6" s="55" t="s">
        <v>84</v>
      </c>
      <c r="K6" s="56"/>
      <c r="L6" s="143">
        <v>102500</v>
      </c>
      <c r="M6" s="140" t="s">
        <v>109</v>
      </c>
      <c r="N6" s="140" t="s">
        <v>89</v>
      </c>
      <c r="O6" s="139" t="s">
        <v>85</v>
      </c>
    </row>
    <row r="7" spans="1:23" ht="18.75" thickBot="1" x14ac:dyDescent="0.3">
      <c r="A7" s="215">
        <v>46151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99</v>
      </c>
      <c r="J7" s="55" t="s">
        <v>84</v>
      </c>
      <c r="K7" s="56"/>
      <c r="L7" s="143">
        <v>102500</v>
      </c>
      <c r="M7" s="140" t="s">
        <v>109</v>
      </c>
      <c r="N7" s="140" t="s">
        <v>89</v>
      </c>
      <c r="O7" s="139" t="s">
        <v>85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182</v>
      </c>
      <c r="J8" s="55" t="s">
        <v>84</v>
      </c>
      <c r="K8" s="56"/>
      <c r="L8" s="143">
        <v>102500</v>
      </c>
      <c r="M8" s="140" t="s">
        <v>109</v>
      </c>
      <c r="N8" s="140" t="s">
        <v>89</v>
      </c>
      <c r="O8" s="139" t="s">
        <v>85</v>
      </c>
    </row>
    <row r="9" spans="1:23" ht="18.75" thickBot="1" x14ac:dyDescent="0.3">
      <c r="A9" s="215">
        <v>46152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198</v>
      </c>
      <c r="J9" s="55" t="s">
        <v>84</v>
      </c>
      <c r="K9" s="56"/>
      <c r="L9" s="143">
        <v>102500</v>
      </c>
      <c r="M9" s="140" t="s">
        <v>109</v>
      </c>
      <c r="N9" s="140" t="s">
        <v>89</v>
      </c>
      <c r="O9" s="139" t="s">
        <v>85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199</v>
      </c>
      <c r="J10" s="55" t="s">
        <v>84</v>
      </c>
      <c r="K10" s="56"/>
      <c r="L10" s="143">
        <v>102500</v>
      </c>
      <c r="M10" s="140" t="s">
        <v>109</v>
      </c>
      <c r="N10" s="140" t="s">
        <v>89</v>
      </c>
      <c r="O10" s="139" t="s">
        <v>85</v>
      </c>
    </row>
    <row r="11" spans="1:23" ht="18.75" thickBot="1" x14ac:dyDescent="0.3">
      <c r="A11" s="215">
        <v>46153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252</v>
      </c>
      <c r="J11" s="55" t="s">
        <v>84</v>
      </c>
      <c r="K11" s="56"/>
      <c r="L11" s="143">
        <v>102500</v>
      </c>
      <c r="M11" s="140" t="s">
        <v>109</v>
      </c>
      <c r="N11" s="140" t="s">
        <v>89</v>
      </c>
      <c r="O11" s="139" t="s">
        <v>85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139</v>
      </c>
      <c r="J12" s="55" t="s">
        <v>84</v>
      </c>
      <c r="K12" s="56"/>
      <c r="L12" s="143">
        <v>102500</v>
      </c>
      <c r="M12" s="140" t="s">
        <v>109</v>
      </c>
      <c r="N12" s="140" t="s">
        <v>89</v>
      </c>
      <c r="O12" s="139" t="s">
        <v>85</v>
      </c>
      <c r="W12" t="s">
        <v>63</v>
      </c>
    </row>
    <row r="13" spans="1:23" ht="18.75" thickBot="1" x14ac:dyDescent="0.3">
      <c r="A13" s="215">
        <v>46154</v>
      </c>
      <c r="B13" s="26" t="s">
        <v>50</v>
      </c>
      <c r="C13" s="218"/>
      <c r="D13" s="217"/>
      <c r="E13" s="50" t="s">
        <v>268</v>
      </c>
      <c r="F13" s="57"/>
      <c r="G13" s="51"/>
      <c r="H13" s="51"/>
      <c r="I13" s="54"/>
      <c r="J13" s="55" t="s">
        <v>84</v>
      </c>
      <c r="K13" s="56"/>
      <c r="L13" s="143">
        <v>102500</v>
      </c>
      <c r="M13" s="140" t="s">
        <v>109</v>
      </c>
      <c r="N13" s="140" t="s">
        <v>89</v>
      </c>
      <c r="O13" s="139" t="s">
        <v>85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270</v>
      </c>
      <c r="F14" s="57"/>
      <c r="G14" s="51"/>
      <c r="H14" s="51"/>
      <c r="I14" s="54"/>
      <c r="J14" s="55" t="s">
        <v>84</v>
      </c>
      <c r="K14" s="56"/>
      <c r="L14" s="143">
        <v>102500</v>
      </c>
      <c r="M14" s="140" t="s">
        <v>109</v>
      </c>
      <c r="N14" s="140" t="s">
        <v>89</v>
      </c>
      <c r="O14" s="139" t="s">
        <v>85</v>
      </c>
    </row>
    <row r="15" spans="1:23" ht="18.75" thickBot="1" x14ac:dyDescent="0.3">
      <c r="A15" s="215">
        <v>46155</v>
      </c>
      <c r="B15" s="26" t="s">
        <v>50</v>
      </c>
      <c r="C15" s="218"/>
      <c r="D15" s="217"/>
      <c r="E15" s="50" t="s">
        <v>296</v>
      </c>
      <c r="F15" s="57"/>
      <c r="G15" s="58"/>
      <c r="H15" s="51"/>
      <c r="I15" s="54"/>
      <c r="J15" s="55" t="s">
        <v>84</v>
      </c>
      <c r="K15" s="56"/>
      <c r="L15" s="143">
        <v>102500</v>
      </c>
      <c r="M15" s="140" t="s">
        <v>109</v>
      </c>
      <c r="N15" s="140" t="s">
        <v>89</v>
      </c>
      <c r="O15" s="139" t="s">
        <v>85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309</v>
      </c>
      <c r="F16" s="57"/>
      <c r="G16" s="58"/>
      <c r="H16" s="51"/>
      <c r="I16" s="54"/>
      <c r="J16" s="55" t="s">
        <v>84</v>
      </c>
      <c r="K16" s="56"/>
      <c r="L16" s="143">
        <v>102500</v>
      </c>
      <c r="M16" s="140" t="s">
        <v>109</v>
      </c>
      <c r="N16" s="140" t="s">
        <v>89</v>
      </c>
      <c r="O16" s="139" t="s">
        <v>85</v>
      </c>
    </row>
    <row r="17" spans="1:56" ht="18.75" thickBot="1" x14ac:dyDescent="0.3">
      <c r="A17" s="215">
        <v>46156</v>
      </c>
      <c r="B17" s="26" t="s">
        <v>50</v>
      </c>
      <c r="C17" s="218"/>
      <c r="D17" s="217"/>
      <c r="E17" s="50" t="s">
        <v>308</v>
      </c>
      <c r="F17" s="57"/>
      <c r="G17" s="58"/>
      <c r="H17" s="51"/>
      <c r="I17" s="54"/>
      <c r="J17" s="55" t="s">
        <v>95</v>
      </c>
      <c r="K17" s="56"/>
      <c r="L17" s="143">
        <v>102500</v>
      </c>
      <c r="M17" s="140" t="s">
        <v>109</v>
      </c>
      <c r="N17" s="140" t="s">
        <v>89</v>
      </c>
      <c r="O17" s="139" t="s">
        <v>85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>
        <v>0.03</v>
      </c>
      <c r="G18" s="58"/>
      <c r="H18" s="51"/>
      <c r="I18" s="54"/>
      <c r="J18" s="55" t="s">
        <v>84</v>
      </c>
      <c r="K18" s="53" t="s">
        <v>322</v>
      </c>
      <c r="L18" s="143">
        <v>102500</v>
      </c>
      <c r="M18" s="140" t="s">
        <v>109</v>
      </c>
      <c r="N18" s="140" t="s">
        <v>89</v>
      </c>
      <c r="O18" s="139" t="s">
        <v>85</v>
      </c>
    </row>
    <row r="19" spans="1:56" ht="18.75" thickBot="1" x14ac:dyDescent="0.3">
      <c r="A19" s="215">
        <v>46157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3"/>
      <c r="L19" s="143">
        <v>102500</v>
      </c>
      <c r="M19" s="140" t="s">
        <v>109</v>
      </c>
      <c r="N19" s="140" t="s">
        <v>89</v>
      </c>
      <c r="O19" s="139" t="s">
        <v>85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/>
      <c r="L20" s="143">
        <v>102500</v>
      </c>
      <c r="M20" s="140" t="s">
        <v>109</v>
      </c>
      <c r="N20" s="140" t="s">
        <v>89</v>
      </c>
      <c r="O20" s="139" t="s">
        <v>85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43">
        <v>102500</v>
      </c>
      <c r="M21" s="140" t="s">
        <v>109</v>
      </c>
      <c r="N21" s="140" t="s">
        <v>89</v>
      </c>
      <c r="O21" s="139" t="s">
        <v>85</v>
      </c>
    </row>
    <row r="22" spans="1:56" ht="18.75" thickBot="1" x14ac:dyDescent="0.3">
      <c r="A22" s="215">
        <f>A19+1</f>
        <v>46158</v>
      </c>
      <c r="B22" s="26" t="s">
        <v>50</v>
      </c>
      <c r="C22" s="216">
        <v>3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6"/>
      <c r="L22" s="143">
        <v>102500</v>
      </c>
      <c r="M22" s="140" t="s">
        <v>109</v>
      </c>
      <c r="N22" s="140" t="s">
        <v>89</v>
      </c>
      <c r="O22" s="139" t="s">
        <v>85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43">
        <v>102500</v>
      </c>
      <c r="M23" s="140" t="s">
        <v>109</v>
      </c>
      <c r="N23" s="140" t="s">
        <v>89</v>
      </c>
      <c r="O23" s="139" t="s">
        <v>85</v>
      </c>
    </row>
    <row r="24" spans="1:56" ht="18.75" thickBot="1" x14ac:dyDescent="0.3">
      <c r="A24" s="215">
        <f>A22+1</f>
        <v>46159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43">
        <v>102500</v>
      </c>
      <c r="M24" s="140" t="s">
        <v>109</v>
      </c>
      <c r="N24" s="140" t="s">
        <v>89</v>
      </c>
      <c r="O24" s="139" t="s">
        <v>85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43">
        <v>102500</v>
      </c>
      <c r="M25" s="140" t="s">
        <v>109</v>
      </c>
      <c r="N25" s="140" t="s">
        <v>89</v>
      </c>
      <c r="O25" s="139" t="s">
        <v>85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46160</v>
      </c>
      <c r="B27" s="26" t="s">
        <v>50</v>
      </c>
      <c r="C27" s="222">
        <v>3</v>
      </c>
      <c r="D27" s="222">
        <v>1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43">
        <v>102500</v>
      </c>
      <c r="M27" s="140" t="s">
        <v>109</v>
      </c>
      <c r="N27" s="140" t="s">
        <v>89</v>
      </c>
      <c r="O27" s="139" t="s">
        <v>85</v>
      </c>
      <c r="P27" s="39">
        <v>89000</v>
      </c>
      <c r="Q27" s="40">
        <f>P27/L27</f>
        <v>0.86829268292682926</v>
      </c>
      <c r="R27" s="40"/>
      <c r="S27" s="40"/>
      <c r="T27" s="41">
        <v>6</v>
      </c>
      <c r="U27" s="41">
        <v>6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8</v>
      </c>
      <c r="AW27" s="41">
        <v>8</v>
      </c>
      <c r="AX27" s="42">
        <f>IF(AW27&gt;0,AVERAGE(T27:AW27),"")</f>
        <v>7</v>
      </c>
      <c r="AY27" s="43">
        <f t="shared" ref="AY27:AY34" si="0">IF(AW27&gt;0,STDEV(T27:AW27),"")</f>
        <v>0.37139067635410372</v>
      </c>
      <c r="AZ27" s="42">
        <f>IF(AW27&gt;0,AY27/AX27*100,"")</f>
        <v>5.3055810907729102</v>
      </c>
      <c r="BA27" s="44" t="s">
        <v>67</v>
      </c>
      <c r="BB27" s="45"/>
      <c r="BC27" s="46"/>
      <c r="BD27" s="47">
        <f t="shared" ref="BD27:BD34" si="1">IF(AW27&gt;0,100-AZ27,"")</f>
        <v>94.694418909227096</v>
      </c>
    </row>
    <row r="28" spans="1:56" ht="18.75" thickBot="1" x14ac:dyDescent="0.3">
      <c r="A28" s="38">
        <f>A27+1</f>
        <v>46161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43">
        <v>102500</v>
      </c>
      <c r="M28" s="140" t="s">
        <v>109</v>
      </c>
      <c r="N28" s="140" t="s">
        <v>89</v>
      </c>
      <c r="O28" s="139" t="s">
        <v>85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8</v>
      </c>
      <c r="AG28" s="41">
        <v>8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>IF(AW28&gt;0,AVERAGE(T28:AW28),"")</f>
        <v>7.6</v>
      </c>
      <c r="AY28" s="43">
        <f>IF(AW28&gt;0,STDEV(T28:AW28),"")</f>
        <v>0.49827287912243967</v>
      </c>
      <c r="AZ28" s="42">
        <f t="shared" ref="AZ28:AZ34" si="2">IF(AW28&gt;0,AY28/AX28*100,"")</f>
        <v>6.5562220937163112</v>
      </c>
      <c r="BA28" s="44" t="s">
        <v>68</v>
      </c>
      <c r="BB28" s="45"/>
      <c r="BC28" s="46"/>
      <c r="BD28" s="47">
        <f t="shared" si="1"/>
        <v>93.443777906283685</v>
      </c>
    </row>
    <row r="29" spans="1:56" ht="18.75" thickBot="1" x14ac:dyDescent="0.3">
      <c r="A29" s="38">
        <f t="shared" ref="A29:A34" si="3">A28+1</f>
        <v>46162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43">
        <v>102500</v>
      </c>
      <c r="M29" s="140" t="s">
        <v>109</v>
      </c>
      <c r="N29" s="140" t="s">
        <v>89</v>
      </c>
      <c r="O29" s="139" t="s">
        <v>85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8</v>
      </c>
      <c r="AV29" s="41">
        <v>9</v>
      </c>
      <c r="AW29" s="41">
        <v>9</v>
      </c>
      <c r="AX29" s="42">
        <f t="shared" ref="AX29:AX34" si="4">IF(AW29&gt;0,AVERAGE(T29:AW29),"")</f>
        <v>8.0666666666666664</v>
      </c>
      <c r="AY29" s="43">
        <f t="shared" si="0"/>
        <v>0.25370813170246242</v>
      </c>
      <c r="AZ29" s="42">
        <f t="shared" si="2"/>
        <v>3.1451421285429229</v>
      </c>
      <c r="BA29" s="44" t="s">
        <v>69</v>
      </c>
      <c r="BB29" s="45"/>
      <c r="BC29" s="46"/>
      <c r="BD29" s="47">
        <f t="shared" si="1"/>
        <v>96.854857871457071</v>
      </c>
    </row>
    <row r="30" spans="1:56" ht="18.75" thickBot="1" x14ac:dyDescent="0.3">
      <c r="A30" s="38">
        <f t="shared" si="3"/>
        <v>46163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43">
        <v>102500</v>
      </c>
      <c r="M30" s="140" t="s">
        <v>109</v>
      </c>
      <c r="N30" s="140" t="s">
        <v>89</v>
      </c>
      <c r="O30" s="139" t="s">
        <v>85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4"/>
        <v>8.6666666666666661</v>
      </c>
      <c r="AY30" s="43">
        <f t="shared" si="0"/>
        <v>0.47946330148538424</v>
      </c>
      <c r="AZ30" s="42">
        <f t="shared" si="2"/>
        <v>5.5322688632928951</v>
      </c>
      <c r="BA30" s="44" t="s">
        <v>70</v>
      </c>
      <c r="BB30" s="48"/>
      <c r="BC30" s="46"/>
      <c r="BD30" s="47">
        <f t="shared" si="1"/>
        <v>94.467731136707101</v>
      </c>
    </row>
    <row r="31" spans="1:56" ht="18.75" thickBot="1" x14ac:dyDescent="0.3">
      <c r="A31" s="38">
        <f t="shared" si="3"/>
        <v>46164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43">
        <v>102500</v>
      </c>
      <c r="M31" s="140" t="s">
        <v>109</v>
      </c>
      <c r="N31" s="140" t="s">
        <v>89</v>
      </c>
      <c r="O31" s="139" t="s">
        <v>85</v>
      </c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4"/>
        <v>9.2333333333333325</v>
      </c>
      <c r="AY31" s="43">
        <f t="shared" si="0"/>
        <v>0.43018306715207638</v>
      </c>
      <c r="AZ31" s="42">
        <f t="shared" si="2"/>
        <v>4.6590223879286254</v>
      </c>
      <c r="BA31" s="44" t="s">
        <v>71</v>
      </c>
      <c r="BB31" s="48"/>
      <c r="BC31" s="49"/>
      <c r="BD31" s="47">
        <f t="shared" si="1"/>
        <v>95.34097761207137</v>
      </c>
    </row>
    <row r="32" spans="1:56" ht="18.75" thickBot="1" x14ac:dyDescent="0.3">
      <c r="A32" s="38">
        <f t="shared" si="3"/>
        <v>46165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43">
        <v>102500</v>
      </c>
      <c r="M32" s="140" t="s">
        <v>109</v>
      </c>
      <c r="N32" s="140" t="s">
        <v>89</v>
      </c>
      <c r="O32" s="139" t="s">
        <v>85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4"/>
        <v>9.6</v>
      </c>
      <c r="AY32" s="43">
        <f t="shared" si="0"/>
        <v>0.49827287912243967</v>
      </c>
      <c r="AZ32" s="42">
        <f t="shared" si="2"/>
        <v>5.1903424908587468</v>
      </c>
      <c r="BA32" s="44" t="s">
        <v>72</v>
      </c>
      <c r="BB32" s="48"/>
      <c r="BC32" s="49"/>
      <c r="BD32" s="47">
        <f t="shared" si="1"/>
        <v>94.80965750914126</v>
      </c>
    </row>
    <row r="33" spans="1:56" ht="18.75" thickBot="1" x14ac:dyDescent="0.3">
      <c r="A33" s="38">
        <f t="shared" si="3"/>
        <v>46166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43">
        <v>102500</v>
      </c>
      <c r="M33" s="140" t="s">
        <v>109</v>
      </c>
      <c r="N33" s="140" t="s">
        <v>89</v>
      </c>
      <c r="O33" s="139" t="s">
        <v>85</v>
      </c>
      <c r="P33" s="40"/>
      <c r="Q33" s="40"/>
      <c r="R33" s="39"/>
      <c r="S33" s="40"/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11</v>
      </c>
      <c r="AO33" s="41">
        <v>11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12</v>
      </c>
      <c r="AW33" s="41">
        <v>12</v>
      </c>
      <c r="AX33" s="42">
        <f t="shared" si="4"/>
        <v>10.233333333333333</v>
      </c>
      <c r="AY33" s="43">
        <f t="shared" si="0"/>
        <v>0.81720015415687675</v>
      </c>
      <c r="AZ33" s="42">
        <f t="shared" si="2"/>
        <v>7.9856692588619884</v>
      </c>
      <c r="BA33" s="44" t="s">
        <v>73</v>
      </c>
      <c r="BB33" s="48"/>
      <c r="BC33" s="49"/>
      <c r="BD33" s="47">
        <f t="shared" si="1"/>
        <v>92.014330741138011</v>
      </c>
    </row>
    <row r="34" spans="1:56" ht="18.75" thickBot="1" x14ac:dyDescent="0.3">
      <c r="A34" s="38">
        <f t="shared" si="3"/>
        <v>46167</v>
      </c>
      <c r="B34" s="26" t="s">
        <v>50</v>
      </c>
      <c r="E34" s="219"/>
      <c r="F34" s="220"/>
      <c r="G34" s="51"/>
      <c r="H34" s="51"/>
      <c r="I34" s="51"/>
      <c r="J34" s="55"/>
      <c r="K34" s="56"/>
      <c r="L34" s="143">
        <v>102500</v>
      </c>
      <c r="M34" s="140" t="s">
        <v>109</v>
      </c>
      <c r="N34" s="140" t="s">
        <v>89</v>
      </c>
      <c r="O34" s="139" t="s">
        <v>85</v>
      </c>
      <c r="P34" s="40"/>
      <c r="Q34" s="40"/>
      <c r="R34" s="39">
        <v>87150</v>
      </c>
      <c r="S34" s="40">
        <f>R34/L34</f>
        <v>0.85024390243902437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4"/>
        <v/>
      </c>
      <c r="AY34" s="43" t="str">
        <f t="shared" si="0"/>
        <v/>
      </c>
      <c r="AZ34" s="42" t="str">
        <f t="shared" si="2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35DE-A047-4058-B722-E3185C25A90F}">
  <dimension ref="A1:BD34"/>
  <sheetViews>
    <sheetView topLeftCell="J10" zoomScale="60" zoomScaleNormal="60" workbookViewId="0">
      <selection activeCell="Z34" sqref="Z34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46149</v>
      </c>
      <c r="B3" s="26" t="s">
        <v>50</v>
      </c>
      <c r="C3" s="218">
        <v>4</v>
      </c>
      <c r="D3" s="217"/>
      <c r="E3" s="50"/>
      <c r="F3" s="51"/>
      <c r="G3" s="51"/>
      <c r="H3" s="51"/>
      <c r="I3" s="54"/>
      <c r="J3" s="52"/>
      <c r="K3" s="53"/>
      <c r="L3" s="143">
        <v>100000</v>
      </c>
      <c r="M3" s="140" t="s">
        <v>110</v>
      </c>
      <c r="N3" s="140" t="s">
        <v>89</v>
      </c>
      <c r="O3" s="139" t="s">
        <v>85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102</v>
      </c>
      <c r="J4" s="55" t="s">
        <v>84</v>
      </c>
      <c r="K4" s="56"/>
      <c r="L4" s="143">
        <v>100000</v>
      </c>
      <c r="M4" s="140" t="s">
        <v>110</v>
      </c>
      <c r="N4" s="140" t="s">
        <v>89</v>
      </c>
      <c r="O4" s="139" t="s">
        <v>85</v>
      </c>
    </row>
    <row r="5" spans="1:23" ht="18.75" thickBot="1" x14ac:dyDescent="0.3">
      <c r="A5" s="215">
        <v>46150</v>
      </c>
      <c r="B5" s="26" t="s">
        <v>50</v>
      </c>
      <c r="C5" s="218"/>
      <c r="D5" s="217"/>
      <c r="E5" s="50" t="s">
        <v>83</v>
      </c>
      <c r="F5" s="51"/>
      <c r="G5" s="51"/>
      <c r="H5" s="51"/>
      <c r="I5" s="54" t="s">
        <v>138</v>
      </c>
      <c r="J5" s="55" t="s">
        <v>84</v>
      </c>
      <c r="K5" s="56"/>
      <c r="L5" s="143">
        <v>100000</v>
      </c>
      <c r="M5" s="140" t="s">
        <v>110</v>
      </c>
      <c r="N5" s="140" t="s">
        <v>89</v>
      </c>
      <c r="O5" s="139" t="s">
        <v>85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149</v>
      </c>
      <c r="J6" s="55" t="s">
        <v>84</v>
      </c>
      <c r="K6" s="56"/>
      <c r="L6" s="143">
        <v>100000</v>
      </c>
      <c r="M6" s="140" t="s">
        <v>110</v>
      </c>
      <c r="N6" s="140" t="s">
        <v>89</v>
      </c>
      <c r="O6" s="139" t="s">
        <v>85</v>
      </c>
    </row>
    <row r="7" spans="1:23" ht="18.75" thickBot="1" x14ac:dyDescent="0.3">
      <c r="A7" s="215">
        <v>46151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169</v>
      </c>
      <c r="J7" s="55" t="s">
        <v>84</v>
      </c>
      <c r="K7" s="56"/>
      <c r="L7" s="143">
        <v>100000</v>
      </c>
      <c r="M7" s="140" t="s">
        <v>110</v>
      </c>
      <c r="N7" s="140" t="s">
        <v>89</v>
      </c>
      <c r="O7" s="139" t="s">
        <v>85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102</v>
      </c>
      <c r="J8" s="55" t="s">
        <v>84</v>
      </c>
      <c r="K8" s="56"/>
      <c r="L8" s="143">
        <v>100000</v>
      </c>
      <c r="M8" s="140" t="s">
        <v>110</v>
      </c>
      <c r="N8" s="140" t="s">
        <v>89</v>
      </c>
      <c r="O8" s="139" t="s">
        <v>85</v>
      </c>
    </row>
    <row r="9" spans="1:23" ht="18.75" thickBot="1" x14ac:dyDescent="0.3">
      <c r="A9" s="215">
        <v>46152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199</v>
      </c>
      <c r="J9" s="55" t="s">
        <v>84</v>
      </c>
      <c r="K9" s="56"/>
      <c r="L9" s="143">
        <v>100000</v>
      </c>
      <c r="M9" s="140" t="s">
        <v>110</v>
      </c>
      <c r="N9" s="140" t="s">
        <v>89</v>
      </c>
      <c r="O9" s="139" t="s">
        <v>85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229</v>
      </c>
      <c r="J10" s="55" t="s">
        <v>103</v>
      </c>
      <c r="K10" s="56"/>
      <c r="L10" s="143">
        <v>100000</v>
      </c>
      <c r="M10" s="140" t="s">
        <v>110</v>
      </c>
      <c r="N10" s="140" t="s">
        <v>89</v>
      </c>
      <c r="O10" s="139" t="s">
        <v>85</v>
      </c>
    </row>
    <row r="11" spans="1:23" ht="18.75" thickBot="1" x14ac:dyDescent="0.3">
      <c r="A11" s="215">
        <v>46153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253</v>
      </c>
      <c r="J11" s="55" t="s">
        <v>84</v>
      </c>
      <c r="K11" s="56"/>
      <c r="L11" s="143">
        <v>100000</v>
      </c>
      <c r="M11" s="140" t="s">
        <v>110</v>
      </c>
      <c r="N11" s="140" t="s">
        <v>89</v>
      </c>
      <c r="O11" s="139" t="s">
        <v>85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254</v>
      </c>
      <c r="J12" s="55" t="s">
        <v>84</v>
      </c>
      <c r="K12" s="56"/>
      <c r="L12" s="143">
        <v>100000</v>
      </c>
      <c r="M12" s="140" t="s">
        <v>110</v>
      </c>
      <c r="N12" s="140" t="s">
        <v>89</v>
      </c>
      <c r="O12" s="139" t="s">
        <v>85</v>
      </c>
      <c r="W12" t="s">
        <v>63</v>
      </c>
    </row>
    <row r="13" spans="1:23" ht="18.75" thickBot="1" x14ac:dyDescent="0.3">
      <c r="A13" s="215">
        <v>46154</v>
      </c>
      <c r="B13" s="26" t="s">
        <v>50</v>
      </c>
      <c r="C13" s="218"/>
      <c r="D13" s="217"/>
      <c r="E13" s="50" t="s">
        <v>269</v>
      </c>
      <c r="F13" s="57"/>
      <c r="G13" s="51"/>
      <c r="H13" s="51"/>
      <c r="I13" s="54"/>
      <c r="J13" s="55" t="s">
        <v>84</v>
      </c>
      <c r="K13" s="56"/>
      <c r="L13" s="143">
        <v>100000</v>
      </c>
      <c r="M13" s="140" t="s">
        <v>110</v>
      </c>
      <c r="N13" s="140" t="s">
        <v>89</v>
      </c>
      <c r="O13" s="139" t="s">
        <v>85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285</v>
      </c>
      <c r="F14" s="57"/>
      <c r="G14" s="51"/>
      <c r="H14" s="51"/>
      <c r="I14" s="54"/>
      <c r="J14" s="55" t="s">
        <v>84</v>
      </c>
      <c r="K14" s="56"/>
      <c r="L14" s="143">
        <v>100000</v>
      </c>
      <c r="M14" s="140" t="s">
        <v>110</v>
      </c>
      <c r="N14" s="140" t="s">
        <v>89</v>
      </c>
      <c r="O14" s="139" t="s">
        <v>85</v>
      </c>
    </row>
    <row r="15" spans="1:23" ht="18.75" thickBot="1" x14ac:dyDescent="0.3">
      <c r="A15" s="215">
        <v>46155</v>
      </c>
      <c r="B15" s="26" t="s">
        <v>50</v>
      </c>
      <c r="C15" s="218"/>
      <c r="D15" s="217"/>
      <c r="E15" s="50" t="s">
        <v>297</v>
      </c>
      <c r="F15" s="57"/>
      <c r="G15" s="58"/>
      <c r="H15" s="51"/>
      <c r="I15" s="54"/>
      <c r="J15" s="55" t="s">
        <v>84</v>
      </c>
      <c r="K15" s="56"/>
      <c r="L15" s="143">
        <v>100000</v>
      </c>
      <c r="M15" s="140" t="s">
        <v>110</v>
      </c>
      <c r="N15" s="140" t="s">
        <v>89</v>
      </c>
      <c r="O15" s="139" t="s">
        <v>85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309</v>
      </c>
      <c r="F16" s="57"/>
      <c r="G16" s="58"/>
      <c r="H16" s="51"/>
      <c r="I16" s="54"/>
      <c r="J16" s="55" t="s">
        <v>84</v>
      </c>
      <c r="K16" s="56"/>
      <c r="L16" s="143">
        <v>100000</v>
      </c>
      <c r="M16" s="140" t="s">
        <v>110</v>
      </c>
      <c r="N16" s="140" t="s">
        <v>89</v>
      </c>
      <c r="O16" s="139" t="s">
        <v>85</v>
      </c>
    </row>
    <row r="17" spans="1:56" ht="18.75" thickBot="1" x14ac:dyDescent="0.3">
      <c r="A17" s="215">
        <v>46156</v>
      </c>
      <c r="B17" s="26" t="s">
        <v>50</v>
      </c>
      <c r="C17" s="218"/>
      <c r="D17" s="217"/>
      <c r="E17" s="50" t="s">
        <v>314</v>
      </c>
      <c r="F17" s="57"/>
      <c r="G17" s="58"/>
      <c r="H17" s="51"/>
      <c r="I17" s="54"/>
      <c r="J17" s="55" t="s">
        <v>84</v>
      </c>
      <c r="K17" s="56"/>
      <c r="L17" s="143">
        <v>100000</v>
      </c>
      <c r="M17" s="140" t="s">
        <v>110</v>
      </c>
      <c r="N17" s="140" t="s">
        <v>89</v>
      </c>
      <c r="O17" s="139" t="s">
        <v>85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/>
      <c r="H18" s="51"/>
      <c r="I18" s="54"/>
      <c r="J18" s="55" t="s">
        <v>84</v>
      </c>
      <c r="K18" s="53"/>
      <c r="L18" s="143">
        <v>100000</v>
      </c>
      <c r="M18" s="140" t="s">
        <v>110</v>
      </c>
      <c r="N18" s="140" t="s">
        <v>89</v>
      </c>
      <c r="O18" s="139" t="s">
        <v>85</v>
      </c>
    </row>
    <row r="19" spans="1:56" ht="18.75" thickBot="1" x14ac:dyDescent="0.3">
      <c r="A19" s="215">
        <v>46157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3"/>
      <c r="L19" s="143">
        <v>100000</v>
      </c>
      <c r="M19" s="140" t="s">
        <v>110</v>
      </c>
      <c r="N19" s="140" t="s">
        <v>89</v>
      </c>
      <c r="O19" s="139" t="s">
        <v>85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/>
      <c r="L20" s="143">
        <v>100000</v>
      </c>
      <c r="M20" s="140" t="s">
        <v>110</v>
      </c>
      <c r="N20" s="140" t="s">
        <v>89</v>
      </c>
      <c r="O20" s="139" t="s">
        <v>85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43">
        <v>100000</v>
      </c>
      <c r="M21" s="140" t="s">
        <v>110</v>
      </c>
      <c r="N21" s="140" t="s">
        <v>89</v>
      </c>
      <c r="O21" s="139" t="s">
        <v>85</v>
      </c>
    </row>
    <row r="22" spans="1:56" ht="18.75" thickBot="1" x14ac:dyDescent="0.3">
      <c r="A22" s="215">
        <f>A19+1</f>
        <v>46158</v>
      </c>
      <c r="B22" s="26" t="s">
        <v>50</v>
      </c>
      <c r="C22" s="216">
        <v>4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6"/>
      <c r="L22" s="143">
        <v>100000</v>
      </c>
      <c r="M22" s="140" t="s">
        <v>110</v>
      </c>
      <c r="N22" s="140" t="s">
        <v>89</v>
      </c>
      <c r="O22" s="139" t="s">
        <v>85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43">
        <v>100000</v>
      </c>
      <c r="M23" s="140" t="s">
        <v>110</v>
      </c>
      <c r="N23" s="140" t="s">
        <v>89</v>
      </c>
      <c r="O23" s="139" t="s">
        <v>85</v>
      </c>
    </row>
    <row r="24" spans="1:56" ht="18.75" thickBot="1" x14ac:dyDescent="0.3">
      <c r="A24" s="215">
        <f>A22+1</f>
        <v>46159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43">
        <v>100000</v>
      </c>
      <c r="M24" s="140" t="s">
        <v>110</v>
      </c>
      <c r="N24" s="140" t="s">
        <v>89</v>
      </c>
      <c r="O24" s="139" t="s">
        <v>85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43">
        <v>100000</v>
      </c>
      <c r="M25" s="140" t="s">
        <v>110</v>
      </c>
      <c r="N25" s="140" t="s">
        <v>89</v>
      </c>
      <c r="O25" s="139" t="s">
        <v>85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46160</v>
      </c>
      <c r="B27" s="26" t="s">
        <v>50</v>
      </c>
      <c r="C27" s="222">
        <v>4</v>
      </c>
      <c r="D27" s="222">
        <v>3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43">
        <v>100000</v>
      </c>
      <c r="M27" s="140" t="s">
        <v>110</v>
      </c>
      <c r="N27" s="140" t="s">
        <v>89</v>
      </c>
      <c r="O27" s="139" t="s">
        <v>85</v>
      </c>
      <c r="P27" s="39">
        <v>76000</v>
      </c>
      <c r="Q27" s="40">
        <f>P27/L27</f>
        <v>0.76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8</v>
      </c>
      <c r="AV27" s="41">
        <v>8</v>
      </c>
      <c r="AW27" s="41">
        <v>8</v>
      </c>
      <c r="AX27" s="42">
        <f>IF(AW27&gt;0,AVERAGE(T27:AW27),"")</f>
        <v>7.1</v>
      </c>
      <c r="AY27" s="43">
        <f t="shared" ref="AY27:AY34" si="0">IF(AW27&gt;0,STDEV(T27:AW27),"")</f>
        <v>0.30512857662936466</v>
      </c>
      <c r="AZ27" s="42">
        <f>IF(AW27&gt;0,AY27/AX27*100,"")</f>
        <v>4.2975855863290802</v>
      </c>
      <c r="BA27" s="44" t="s">
        <v>67</v>
      </c>
      <c r="BB27" s="45"/>
      <c r="BC27" s="46"/>
      <c r="BD27" s="47">
        <f t="shared" ref="BD27:BD34" si="1">IF(AW27&gt;0,100-AZ27,"")</f>
        <v>95.702414413670922</v>
      </c>
    </row>
    <row r="28" spans="1:56" ht="18.75" thickBot="1" x14ac:dyDescent="0.3">
      <c r="A28" s="38">
        <f>A27+1</f>
        <v>46161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43">
        <v>100000</v>
      </c>
      <c r="M28" s="140" t="s">
        <v>110</v>
      </c>
      <c r="N28" s="140" t="s">
        <v>89</v>
      </c>
      <c r="O28" s="139" t="s">
        <v>85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>IF(AW28&gt;0,AVERAGE(T28:AW28),"")</f>
        <v>7.4666666666666668</v>
      </c>
      <c r="AY28" s="43">
        <f>IF(AW28&gt;0,STDEV(T28:AW28),"")</f>
        <v>0.50741626340492496</v>
      </c>
      <c r="AZ28" s="42">
        <f t="shared" ref="AZ28:AZ34" si="2">IF(AW28&gt;0,AY28/AX28*100,"")</f>
        <v>6.7957535277445302</v>
      </c>
      <c r="BA28" s="44" t="s">
        <v>68</v>
      </c>
      <c r="BB28" s="45"/>
      <c r="BC28" s="46"/>
      <c r="BD28" s="47">
        <f t="shared" si="1"/>
        <v>93.204246472255477</v>
      </c>
    </row>
    <row r="29" spans="1:56" ht="18.75" thickBot="1" x14ac:dyDescent="0.3">
      <c r="A29" s="38">
        <f t="shared" ref="A29:A34" si="3">A28+1</f>
        <v>46162</v>
      </c>
      <c r="B29" s="26" t="s">
        <v>50</v>
      </c>
      <c r="C29" s="223"/>
      <c r="D29" s="223"/>
      <c r="E29" s="219" t="s">
        <v>69</v>
      </c>
      <c r="F29" s="220"/>
      <c r="G29" s="51"/>
      <c r="H29" s="51">
        <v>0.03</v>
      </c>
      <c r="I29" s="51"/>
      <c r="J29" s="55" t="s">
        <v>84</v>
      </c>
      <c r="K29" s="56"/>
      <c r="L29" s="143">
        <v>100000</v>
      </c>
      <c r="M29" s="140" t="s">
        <v>110</v>
      </c>
      <c r="N29" s="140" t="s">
        <v>89</v>
      </c>
      <c r="O29" s="139" t="s">
        <v>85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ref="AX29:AX34" si="4">IF(AW29&gt;0,AVERAGE(T29:AW29),"")</f>
        <v>8.1333333333333329</v>
      </c>
      <c r="AY29" s="43">
        <f t="shared" si="0"/>
        <v>0.34574590364176039</v>
      </c>
      <c r="AZ29" s="42">
        <f t="shared" si="2"/>
        <v>4.2509742251036116</v>
      </c>
      <c r="BA29" s="44" t="s">
        <v>69</v>
      </c>
      <c r="BB29" s="45"/>
      <c r="BC29" s="46"/>
      <c r="BD29" s="47">
        <f t="shared" si="1"/>
        <v>95.749025774896381</v>
      </c>
    </row>
    <row r="30" spans="1:56" ht="18.75" thickBot="1" x14ac:dyDescent="0.3">
      <c r="A30" s="38">
        <f t="shared" si="3"/>
        <v>46163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43">
        <v>100000</v>
      </c>
      <c r="M30" s="140" t="s">
        <v>110</v>
      </c>
      <c r="N30" s="140" t="s">
        <v>89</v>
      </c>
      <c r="O30" s="139" t="s">
        <v>85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9</v>
      </c>
      <c r="AB30" s="41">
        <v>9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4"/>
        <v>8.7666666666666675</v>
      </c>
      <c r="AY30" s="43">
        <f t="shared" si="0"/>
        <v>0.43018306715207638</v>
      </c>
      <c r="AZ30" s="42">
        <f t="shared" si="2"/>
        <v>4.9070311842442171</v>
      </c>
      <c r="BA30" s="44" t="s">
        <v>70</v>
      </c>
      <c r="BB30" s="48"/>
      <c r="BC30" s="46"/>
      <c r="BD30" s="47">
        <f t="shared" si="1"/>
        <v>95.092968815755782</v>
      </c>
    </row>
    <row r="31" spans="1:56" ht="18.75" thickBot="1" x14ac:dyDescent="0.3">
      <c r="A31" s="38">
        <f t="shared" si="3"/>
        <v>46164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43">
        <v>100000</v>
      </c>
      <c r="M31" s="140" t="s">
        <v>110</v>
      </c>
      <c r="N31" s="140" t="s">
        <v>89</v>
      </c>
      <c r="O31" s="139" t="s">
        <v>85</v>
      </c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10</v>
      </c>
      <c r="AO31" s="41">
        <v>10</v>
      </c>
      <c r="AP31" s="41">
        <v>10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4"/>
        <v>9.3333333333333339</v>
      </c>
      <c r="AY31" s="43">
        <f t="shared" si="0"/>
        <v>0.47946330148538424</v>
      </c>
      <c r="AZ31" s="42">
        <f t="shared" si="2"/>
        <v>5.137106801629117</v>
      </c>
      <c r="BA31" s="44" t="s">
        <v>71</v>
      </c>
      <c r="BB31" s="48"/>
      <c r="BC31" s="49"/>
      <c r="BD31" s="47">
        <f t="shared" si="1"/>
        <v>94.862893198370884</v>
      </c>
    </row>
    <row r="32" spans="1:56" ht="18.75" thickBot="1" x14ac:dyDescent="0.3">
      <c r="A32" s="38">
        <f t="shared" si="3"/>
        <v>46165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43">
        <v>100000</v>
      </c>
      <c r="M32" s="140" t="s">
        <v>110</v>
      </c>
      <c r="N32" s="140" t="s">
        <v>89</v>
      </c>
      <c r="O32" s="139" t="s">
        <v>85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10</v>
      </c>
      <c r="AC32" s="41">
        <v>10</v>
      </c>
      <c r="AD32" s="41">
        <v>10</v>
      </c>
      <c r="AE32" s="41">
        <v>10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4"/>
        <v>9.7333333333333325</v>
      </c>
      <c r="AY32" s="43">
        <f t="shared" si="0"/>
        <v>0.44977644510880366</v>
      </c>
      <c r="AZ32" s="42">
        <f t="shared" si="2"/>
        <v>4.6209908744055177</v>
      </c>
      <c r="BA32" s="44" t="s">
        <v>72</v>
      </c>
      <c r="BB32" s="48"/>
      <c r="BC32" s="49"/>
      <c r="BD32" s="47">
        <f t="shared" si="1"/>
        <v>95.379009125594479</v>
      </c>
    </row>
    <row r="33" spans="1:56" ht="18.75" thickBot="1" x14ac:dyDescent="0.3">
      <c r="A33" s="38">
        <f t="shared" si="3"/>
        <v>46166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43">
        <v>100000</v>
      </c>
      <c r="M33" s="140" t="s">
        <v>110</v>
      </c>
      <c r="N33" s="140" t="s">
        <v>89</v>
      </c>
      <c r="O33" s="139" t="s">
        <v>85</v>
      </c>
      <c r="P33" s="40"/>
      <c r="Q33" s="40"/>
      <c r="R33" s="39"/>
      <c r="S33" s="40"/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11</v>
      </c>
      <c r="AM33" s="41">
        <v>11</v>
      </c>
      <c r="AN33" s="41">
        <v>11</v>
      </c>
      <c r="AO33" s="41">
        <v>11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4"/>
        <v>10.199999999999999</v>
      </c>
      <c r="AY33" s="43">
        <f t="shared" si="0"/>
        <v>0.76112439510738694</v>
      </c>
      <c r="AZ33" s="42">
        <f t="shared" si="2"/>
        <v>7.4620038736018328</v>
      </c>
      <c r="BA33" s="44" t="s">
        <v>73</v>
      </c>
      <c r="BB33" s="48"/>
      <c r="BC33" s="49"/>
      <c r="BD33" s="47">
        <f t="shared" si="1"/>
        <v>92.53799612639817</v>
      </c>
    </row>
    <row r="34" spans="1:56" ht="18.75" thickBot="1" x14ac:dyDescent="0.3">
      <c r="A34" s="38">
        <f t="shared" si="3"/>
        <v>46167</v>
      </c>
      <c r="B34" s="26" t="s">
        <v>50</v>
      </c>
      <c r="E34" s="219"/>
      <c r="F34" s="220"/>
      <c r="G34" s="51"/>
      <c r="H34" s="51"/>
      <c r="I34" s="51"/>
      <c r="J34" s="55"/>
      <c r="K34" s="56"/>
      <c r="L34" s="143">
        <v>100000</v>
      </c>
      <c r="M34" s="140" t="s">
        <v>110</v>
      </c>
      <c r="N34" s="140" t="s">
        <v>89</v>
      </c>
      <c r="O34" s="139" t="s">
        <v>85</v>
      </c>
      <c r="P34" s="40"/>
      <c r="Q34" s="40"/>
      <c r="R34" s="39">
        <v>76550</v>
      </c>
      <c r="S34" s="40">
        <f>R34/L34</f>
        <v>0.76549999999999996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4"/>
        <v/>
      </c>
      <c r="AY34" s="43" t="str">
        <f t="shared" si="0"/>
        <v/>
      </c>
      <c r="AZ34" s="42" t="str">
        <f t="shared" si="2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8DFE-3CD5-41F7-A5B2-85C0E6BAAB26}">
  <dimension ref="A1:BD34"/>
  <sheetViews>
    <sheetView topLeftCell="J10" zoomScale="60" zoomScaleNormal="60" workbookViewId="0">
      <selection activeCell="Z33" sqref="Z33:AM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46149</v>
      </c>
      <c r="B3" s="26" t="s">
        <v>50</v>
      </c>
      <c r="C3" s="218">
        <v>5</v>
      </c>
      <c r="D3" s="217"/>
      <c r="E3" s="50"/>
      <c r="F3" s="51"/>
      <c r="G3" s="51"/>
      <c r="H3" s="51"/>
      <c r="I3" s="54"/>
      <c r="J3" s="52"/>
      <c r="K3" s="53"/>
      <c r="L3" s="143">
        <v>100000</v>
      </c>
      <c r="M3" s="140" t="s">
        <v>111</v>
      </c>
      <c r="N3" s="140" t="s">
        <v>90</v>
      </c>
      <c r="O3" s="139" t="s">
        <v>85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105</v>
      </c>
      <c r="J4" s="55" t="s">
        <v>84</v>
      </c>
      <c r="K4" s="56"/>
      <c r="L4" s="143">
        <v>100000</v>
      </c>
      <c r="M4" s="140" t="s">
        <v>111</v>
      </c>
      <c r="N4" s="140" t="s">
        <v>90</v>
      </c>
      <c r="O4" s="139" t="s">
        <v>85</v>
      </c>
    </row>
    <row r="5" spans="1:23" ht="18.75" thickBot="1" x14ac:dyDescent="0.3">
      <c r="A5" s="215">
        <v>46150</v>
      </c>
      <c r="B5" s="26" t="s">
        <v>50</v>
      </c>
      <c r="C5" s="218"/>
      <c r="D5" s="217"/>
      <c r="E5" s="50" t="s">
        <v>83</v>
      </c>
      <c r="F5" s="51"/>
      <c r="G5" s="51"/>
      <c r="H5" s="51"/>
      <c r="I5" s="54" t="s">
        <v>139</v>
      </c>
      <c r="J5" s="55" t="s">
        <v>84</v>
      </c>
      <c r="K5" s="56"/>
      <c r="L5" s="143">
        <v>100000</v>
      </c>
      <c r="M5" s="140" t="s">
        <v>111</v>
      </c>
      <c r="N5" s="140" t="s">
        <v>90</v>
      </c>
      <c r="O5" s="139" t="s">
        <v>85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150</v>
      </c>
      <c r="J6" s="55" t="s">
        <v>84</v>
      </c>
      <c r="K6" s="56"/>
      <c r="L6" s="143">
        <v>100000</v>
      </c>
      <c r="M6" s="140" t="s">
        <v>111</v>
      </c>
      <c r="N6" s="140" t="s">
        <v>90</v>
      </c>
      <c r="O6" s="139" t="s">
        <v>85</v>
      </c>
    </row>
    <row r="7" spans="1:23" ht="18.75" thickBot="1" x14ac:dyDescent="0.3">
      <c r="A7" s="215">
        <v>46151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98</v>
      </c>
      <c r="J7" s="55" t="s">
        <v>84</v>
      </c>
      <c r="K7" s="56"/>
      <c r="L7" s="143">
        <v>100000</v>
      </c>
      <c r="M7" s="140" t="s">
        <v>111</v>
      </c>
      <c r="N7" s="140" t="s">
        <v>90</v>
      </c>
      <c r="O7" s="139" t="s">
        <v>85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183</v>
      </c>
      <c r="J8" s="55" t="s">
        <v>84</v>
      </c>
      <c r="K8" s="56"/>
      <c r="L8" s="143">
        <v>100000</v>
      </c>
      <c r="M8" s="140" t="s">
        <v>111</v>
      </c>
      <c r="N8" s="140" t="s">
        <v>90</v>
      </c>
      <c r="O8" s="139" t="s">
        <v>85</v>
      </c>
    </row>
    <row r="9" spans="1:23" ht="18.75" thickBot="1" x14ac:dyDescent="0.3">
      <c r="A9" s="215">
        <v>46152</v>
      </c>
      <c r="B9" s="26" t="s">
        <v>50</v>
      </c>
      <c r="C9" s="218"/>
      <c r="D9" s="217"/>
      <c r="E9" s="50" t="s">
        <v>195</v>
      </c>
      <c r="F9" s="57"/>
      <c r="G9" s="51">
        <v>0.03</v>
      </c>
      <c r="H9" s="51"/>
      <c r="I9" s="54" t="s">
        <v>100</v>
      </c>
      <c r="J9" s="55" t="s">
        <v>84</v>
      </c>
      <c r="K9" s="56"/>
      <c r="L9" s="143">
        <v>100000</v>
      </c>
      <c r="M9" s="140" t="s">
        <v>111</v>
      </c>
      <c r="N9" s="140" t="s">
        <v>90</v>
      </c>
      <c r="O9" s="139" t="s">
        <v>85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230</v>
      </c>
      <c r="J10" s="55" t="s">
        <v>84</v>
      </c>
      <c r="K10" s="56"/>
      <c r="L10" s="143">
        <v>100000</v>
      </c>
      <c r="M10" s="140" t="s">
        <v>111</v>
      </c>
      <c r="N10" s="140" t="s">
        <v>90</v>
      </c>
      <c r="O10" s="139" t="s">
        <v>85</v>
      </c>
    </row>
    <row r="11" spans="1:23" ht="18.75" thickBot="1" x14ac:dyDescent="0.3">
      <c r="A11" s="215">
        <v>46153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255</v>
      </c>
      <c r="J11" s="55" t="s">
        <v>84</v>
      </c>
      <c r="K11" s="56"/>
      <c r="L11" s="143">
        <v>100000</v>
      </c>
      <c r="M11" s="140" t="s">
        <v>111</v>
      </c>
      <c r="N11" s="140" t="s">
        <v>90</v>
      </c>
      <c r="O11" s="139" t="s">
        <v>85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>
        <v>0.03</v>
      </c>
      <c r="H12" s="51"/>
      <c r="I12" s="54" t="s">
        <v>256</v>
      </c>
      <c r="J12" s="55" t="s">
        <v>84</v>
      </c>
      <c r="K12" s="56"/>
      <c r="L12" s="143">
        <v>100000</v>
      </c>
      <c r="M12" s="140" t="s">
        <v>111</v>
      </c>
      <c r="N12" s="140" t="s">
        <v>90</v>
      </c>
      <c r="O12" s="139" t="s">
        <v>85</v>
      </c>
      <c r="W12" t="s">
        <v>63</v>
      </c>
    </row>
    <row r="13" spans="1:23" ht="18.75" thickBot="1" x14ac:dyDescent="0.3">
      <c r="A13" s="215">
        <v>46154</v>
      </c>
      <c r="B13" s="26" t="s">
        <v>50</v>
      </c>
      <c r="C13" s="218"/>
      <c r="D13" s="217"/>
      <c r="E13" s="50" t="s">
        <v>270</v>
      </c>
      <c r="F13" s="57"/>
      <c r="G13" s="51"/>
      <c r="H13" s="51"/>
      <c r="I13" s="54"/>
      <c r="J13" s="55" t="s">
        <v>84</v>
      </c>
      <c r="K13" s="56"/>
      <c r="L13" s="143">
        <v>100000</v>
      </c>
      <c r="M13" s="140" t="s">
        <v>111</v>
      </c>
      <c r="N13" s="140" t="s">
        <v>90</v>
      </c>
      <c r="O13" s="139" t="s">
        <v>85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285</v>
      </c>
      <c r="F14" s="57"/>
      <c r="G14" s="51"/>
      <c r="H14" s="51"/>
      <c r="I14" s="54"/>
      <c r="J14" s="55" t="s">
        <v>84</v>
      </c>
      <c r="K14" s="56"/>
      <c r="L14" s="143">
        <v>100000</v>
      </c>
      <c r="M14" s="140" t="s">
        <v>111</v>
      </c>
      <c r="N14" s="140" t="s">
        <v>90</v>
      </c>
      <c r="O14" s="139" t="s">
        <v>85</v>
      </c>
    </row>
    <row r="15" spans="1:23" ht="18.75" thickBot="1" x14ac:dyDescent="0.3">
      <c r="A15" s="215">
        <v>46155</v>
      </c>
      <c r="B15" s="26" t="s">
        <v>50</v>
      </c>
      <c r="C15" s="218"/>
      <c r="D15" s="217"/>
      <c r="E15" s="50" t="s">
        <v>298</v>
      </c>
      <c r="F15" s="57"/>
      <c r="G15" s="58"/>
      <c r="H15" s="51"/>
      <c r="I15" s="54"/>
      <c r="J15" s="55" t="s">
        <v>84</v>
      </c>
      <c r="K15" s="56"/>
      <c r="L15" s="143">
        <v>100000</v>
      </c>
      <c r="M15" s="140" t="s">
        <v>111</v>
      </c>
      <c r="N15" s="140" t="s">
        <v>90</v>
      </c>
      <c r="O15" s="139" t="s">
        <v>85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310</v>
      </c>
      <c r="F16" s="57"/>
      <c r="G16" s="58"/>
      <c r="H16" s="51"/>
      <c r="I16" s="54"/>
      <c r="J16" s="55" t="s">
        <v>84</v>
      </c>
      <c r="K16" s="56"/>
      <c r="L16" s="143">
        <v>100000</v>
      </c>
      <c r="M16" s="140" t="s">
        <v>111</v>
      </c>
      <c r="N16" s="140" t="s">
        <v>90</v>
      </c>
      <c r="O16" s="139" t="s">
        <v>85</v>
      </c>
    </row>
    <row r="17" spans="1:56" ht="18.75" thickBot="1" x14ac:dyDescent="0.3">
      <c r="A17" s="215">
        <v>46156</v>
      </c>
      <c r="B17" s="26" t="s">
        <v>50</v>
      </c>
      <c r="C17" s="218"/>
      <c r="D17" s="217"/>
      <c r="E17" s="50" t="s">
        <v>314</v>
      </c>
      <c r="F17" s="57"/>
      <c r="G17" s="58"/>
      <c r="H17" s="51"/>
      <c r="I17" s="54"/>
      <c r="J17" s="55" t="s">
        <v>84</v>
      </c>
      <c r="K17" s="56"/>
      <c r="L17" s="143">
        <v>100000</v>
      </c>
      <c r="M17" s="140" t="s">
        <v>111</v>
      </c>
      <c r="N17" s="140" t="s">
        <v>90</v>
      </c>
      <c r="O17" s="139" t="s">
        <v>85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/>
      <c r="H18" s="51"/>
      <c r="I18" s="54"/>
      <c r="J18" s="55" t="s">
        <v>84</v>
      </c>
      <c r="K18" s="53"/>
      <c r="L18" s="143">
        <v>100000</v>
      </c>
      <c r="M18" s="140" t="s">
        <v>111</v>
      </c>
      <c r="N18" s="140" t="s">
        <v>90</v>
      </c>
      <c r="O18" s="139" t="s">
        <v>85</v>
      </c>
    </row>
    <row r="19" spans="1:56" ht="18.75" thickBot="1" x14ac:dyDescent="0.3">
      <c r="A19" s="215">
        <v>46157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3"/>
      <c r="L19" s="143">
        <v>100000</v>
      </c>
      <c r="M19" s="140" t="s">
        <v>111</v>
      </c>
      <c r="N19" s="140" t="s">
        <v>90</v>
      </c>
      <c r="O19" s="139" t="s">
        <v>85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>
        <v>0.03</v>
      </c>
      <c r="H20" s="51"/>
      <c r="I20" s="54"/>
      <c r="J20" s="55" t="s">
        <v>84</v>
      </c>
      <c r="K20" s="56"/>
      <c r="L20" s="143">
        <v>100000</v>
      </c>
      <c r="M20" s="140" t="s">
        <v>111</v>
      </c>
      <c r="N20" s="140" t="s">
        <v>90</v>
      </c>
      <c r="O20" s="139" t="s">
        <v>85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43">
        <v>100000</v>
      </c>
      <c r="M21" s="140" t="s">
        <v>111</v>
      </c>
      <c r="N21" s="140" t="s">
        <v>90</v>
      </c>
      <c r="O21" s="139" t="s">
        <v>85</v>
      </c>
    </row>
    <row r="22" spans="1:56" ht="18.75" thickBot="1" x14ac:dyDescent="0.3">
      <c r="A22" s="215">
        <f>A19+1</f>
        <v>46158</v>
      </c>
      <c r="B22" s="26" t="s">
        <v>50</v>
      </c>
      <c r="C22" s="216">
        <v>5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6"/>
      <c r="L22" s="143">
        <v>100000</v>
      </c>
      <c r="M22" s="140" t="s">
        <v>111</v>
      </c>
      <c r="N22" s="140" t="s">
        <v>90</v>
      </c>
      <c r="O22" s="139" t="s">
        <v>85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43">
        <v>100000</v>
      </c>
      <c r="M23" s="140" t="s">
        <v>111</v>
      </c>
      <c r="N23" s="140" t="s">
        <v>90</v>
      </c>
      <c r="O23" s="139" t="s">
        <v>85</v>
      </c>
    </row>
    <row r="24" spans="1:56" ht="18.75" thickBot="1" x14ac:dyDescent="0.3">
      <c r="A24" s="215">
        <f>A22+1</f>
        <v>46159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43">
        <v>100000</v>
      </c>
      <c r="M24" s="140" t="s">
        <v>111</v>
      </c>
      <c r="N24" s="140" t="s">
        <v>90</v>
      </c>
      <c r="O24" s="139" t="s">
        <v>85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>
        <v>0.03</v>
      </c>
      <c r="H25" s="51"/>
      <c r="I25" s="54"/>
      <c r="J25" s="55" t="s">
        <v>84</v>
      </c>
      <c r="K25" s="56"/>
      <c r="L25" s="143">
        <v>100000</v>
      </c>
      <c r="M25" s="140" t="s">
        <v>111</v>
      </c>
      <c r="N25" s="140" t="s">
        <v>90</v>
      </c>
      <c r="O25" s="139" t="s">
        <v>85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46160</v>
      </c>
      <c r="B27" s="26" t="s">
        <v>50</v>
      </c>
      <c r="C27" s="222">
        <v>5</v>
      </c>
      <c r="D27" s="222">
        <v>4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43">
        <v>100000</v>
      </c>
      <c r="M27" s="140" t="s">
        <v>111</v>
      </c>
      <c r="N27" s="140" t="s">
        <v>90</v>
      </c>
      <c r="O27" s="139" t="s">
        <v>85</v>
      </c>
      <c r="P27" s="39">
        <v>87000</v>
      </c>
      <c r="Q27" s="40">
        <f>P27/L27</f>
        <v>0.87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7</v>
      </c>
      <c r="AY27" s="43">
        <f t="shared" ref="AY27:AY34" si="0">IF(AW27&gt;0,STDEV(T27:AW27),"")</f>
        <v>0</v>
      </c>
      <c r="AZ27" s="42">
        <f>IF(AW27&gt;0,AY27/AX27*100,"")</f>
        <v>0</v>
      </c>
      <c r="BA27" s="44" t="s">
        <v>67</v>
      </c>
      <c r="BB27" s="45"/>
      <c r="BC27" s="46"/>
      <c r="BD27" s="47">
        <f t="shared" ref="BD27:BD34" si="1">IF(AW27&gt;0,100-AZ27,"")</f>
        <v>100</v>
      </c>
    </row>
    <row r="28" spans="1:56" ht="18.75" thickBot="1" x14ac:dyDescent="0.3">
      <c r="A28" s="38">
        <f>A27+1</f>
        <v>46161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43">
        <v>100000</v>
      </c>
      <c r="M28" s="140" t="s">
        <v>111</v>
      </c>
      <c r="N28" s="140" t="s">
        <v>90</v>
      </c>
      <c r="O28" s="139" t="s">
        <v>85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7</v>
      </c>
      <c r="AK28" s="41">
        <v>7</v>
      </c>
      <c r="AL28" s="41">
        <v>7</v>
      </c>
      <c r="AM28" s="41">
        <v>7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>IF(AW28&gt;0,AVERAGE(T28:AW28),"")</f>
        <v>7.333333333333333</v>
      </c>
      <c r="AY28" s="43">
        <f>IF(AW28&gt;0,STDEV(T28:AW28),"")</f>
        <v>0.47946330148538407</v>
      </c>
      <c r="AZ28" s="42">
        <f t="shared" ref="AZ28:AZ34" si="2">IF(AW28&gt;0,AY28/AX28*100,"")</f>
        <v>6.5381359293461463</v>
      </c>
      <c r="BA28" s="44" t="s">
        <v>68</v>
      </c>
      <c r="BB28" s="45"/>
      <c r="BC28" s="46"/>
      <c r="BD28" s="47">
        <f t="shared" si="1"/>
        <v>93.46186407065386</v>
      </c>
    </row>
    <row r="29" spans="1:56" ht="18.75" thickBot="1" x14ac:dyDescent="0.3">
      <c r="A29" s="38">
        <f t="shared" ref="A29:A34" si="3">A28+1</f>
        <v>46162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43">
        <v>100000</v>
      </c>
      <c r="M29" s="140" t="s">
        <v>111</v>
      </c>
      <c r="N29" s="140" t="s">
        <v>90</v>
      </c>
      <c r="O29" s="139" t="s">
        <v>85</v>
      </c>
      <c r="P29" s="40"/>
      <c r="Q29" s="40"/>
      <c r="R29" s="40"/>
      <c r="S29" s="40"/>
      <c r="T29" s="41">
        <v>7</v>
      </c>
      <c r="U29" s="41">
        <v>7</v>
      </c>
      <c r="V29" s="41">
        <v>7</v>
      </c>
      <c r="W29" s="41">
        <v>7</v>
      </c>
      <c r="X29" s="41">
        <v>7</v>
      </c>
      <c r="Y29" s="41">
        <v>7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ref="AX29:AX34" si="4">IF(AW29&gt;0,AVERAGE(T29:AW29),"")</f>
        <v>7.9333333333333336</v>
      </c>
      <c r="AY29" s="43">
        <f t="shared" si="0"/>
        <v>0.58329228098567454</v>
      </c>
      <c r="AZ29" s="42">
        <f t="shared" si="2"/>
        <v>7.3524237099034604</v>
      </c>
      <c r="BA29" s="44" t="s">
        <v>69</v>
      </c>
      <c r="BB29" s="45"/>
      <c r="BC29" s="46"/>
      <c r="BD29" s="47">
        <f t="shared" si="1"/>
        <v>92.647576290096538</v>
      </c>
    </row>
    <row r="30" spans="1:56" ht="18.75" thickBot="1" x14ac:dyDescent="0.3">
      <c r="A30" s="38">
        <f t="shared" si="3"/>
        <v>46163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43">
        <v>100000</v>
      </c>
      <c r="M30" s="140" t="s">
        <v>111</v>
      </c>
      <c r="N30" s="140" t="s">
        <v>90</v>
      </c>
      <c r="O30" s="139" t="s">
        <v>85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4"/>
        <v>8.6333333333333329</v>
      </c>
      <c r="AY30" s="43">
        <f t="shared" si="0"/>
        <v>0.49013251785356121</v>
      </c>
      <c r="AZ30" s="42">
        <f t="shared" si="2"/>
        <v>5.6772106315084319</v>
      </c>
      <c r="BA30" s="44" t="s">
        <v>70</v>
      </c>
      <c r="BB30" s="48"/>
      <c r="BC30" s="46"/>
      <c r="BD30" s="47">
        <f t="shared" si="1"/>
        <v>94.32278936849157</v>
      </c>
    </row>
    <row r="31" spans="1:56" ht="18.75" thickBot="1" x14ac:dyDescent="0.3">
      <c r="A31" s="38">
        <f t="shared" si="3"/>
        <v>46164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43">
        <v>100000</v>
      </c>
      <c r="M31" s="140" t="s">
        <v>111</v>
      </c>
      <c r="N31" s="140" t="s">
        <v>90</v>
      </c>
      <c r="O31" s="139" t="s">
        <v>85</v>
      </c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4"/>
        <v>9.1666666666666661</v>
      </c>
      <c r="AY31" s="43">
        <f t="shared" si="0"/>
        <v>0.37904902178945171</v>
      </c>
      <c r="AZ31" s="42">
        <f t="shared" si="2"/>
        <v>4.13508023770311</v>
      </c>
      <c r="BA31" s="44" t="s">
        <v>71</v>
      </c>
      <c r="BB31" s="48"/>
      <c r="BC31" s="49"/>
      <c r="BD31" s="47">
        <f t="shared" si="1"/>
        <v>95.864919762296893</v>
      </c>
    </row>
    <row r="32" spans="1:56" ht="18.75" thickBot="1" x14ac:dyDescent="0.3">
      <c r="A32" s="38">
        <f t="shared" si="3"/>
        <v>46165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43">
        <v>100000</v>
      </c>
      <c r="M32" s="140" t="s">
        <v>111</v>
      </c>
      <c r="N32" s="140" t="s">
        <v>90</v>
      </c>
      <c r="O32" s="139" t="s">
        <v>85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10</v>
      </c>
      <c r="AB32" s="41">
        <v>10</v>
      </c>
      <c r="AC32" s="41">
        <v>10</v>
      </c>
      <c r="AD32" s="41">
        <v>10</v>
      </c>
      <c r="AE32" s="41">
        <v>10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11</v>
      </c>
      <c r="AV32" s="41">
        <v>11</v>
      </c>
      <c r="AW32" s="41">
        <v>11</v>
      </c>
      <c r="AX32" s="42">
        <f t="shared" si="4"/>
        <v>9.8666666666666671</v>
      </c>
      <c r="AY32" s="43">
        <f t="shared" si="0"/>
        <v>0.57134646372336606</v>
      </c>
      <c r="AZ32" s="42">
        <f t="shared" si="2"/>
        <v>5.7906736188178982</v>
      </c>
      <c r="BA32" s="44" t="s">
        <v>72</v>
      </c>
      <c r="BB32" s="48"/>
      <c r="BC32" s="49"/>
      <c r="BD32" s="47">
        <f t="shared" si="1"/>
        <v>94.209326381182109</v>
      </c>
    </row>
    <row r="33" spans="1:56" ht="18.75" thickBot="1" x14ac:dyDescent="0.3">
      <c r="A33" s="38">
        <f t="shared" si="3"/>
        <v>46166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43">
        <v>100000</v>
      </c>
      <c r="M33" s="140" t="s">
        <v>111</v>
      </c>
      <c r="N33" s="140" t="s">
        <v>90</v>
      </c>
      <c r="O33" s="139" t="s">
        <v>85</v>
      </c>
      <c r="P33" s="40"/>
      <c r="Q33" s="40"/>
      <c r="R33" s="39"/>
      <c r="S33" s="40"/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11</v>
      </c>
      <c r="AO33" s="41">
        <v>11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4"/>
        <v>10.133333333333333</v>
      </c>
      <c r="AY33" s="43">
        <f t="shared" si="0"/>
        <v>0.73029674334022143</v>
      </c>
      <c r="AZ33" s="42">
        <f t="shared" si="2"/>
        <v>7.206875756646923</v>
      </c>
      <c r="BA33" s="44" t="s">
        <v>73</v>
      </c>
      <c r="BB33" s="48"/>
      <c r="BC33" s="49"/>
      <c r="BD33" s="47">
        <f t="shared" si="1"/>
        <v>92.793124243353077</v>
      </c>
    </row>
    <row r="34" spans="1:56" ht="18.75" thickBot="1" x14ac:dyDescent="0.3">
      <c r="A34" s="38">
        <f t="shared" si="3"/>
        <v>46167</v>
      </c>
      <c r="B34" s="26" t="s">
        <v>50</v>
      </c>
      <c r="E34" s="219"/>
      <c r="F34" s="220"/>
      <c r="G34" s="51"/>
      <c r="H34" s="51"/>
      <c r="I34" s="51"/>
      <c r="J34" s="55"/>
      <c r="K34" s="56"/>
      <c r="L34" s="143">
        <v>100000</v>
      </c>
      <c r="M34" s="140" t="s">
        <v>111</v>
      </c>
      <c r="N34" s="140" t="s">
        <v>90</v>
      </c>
      <c r="O34" s="139" t="s">
        <v>85</v>
      </c>
      <c r="P34" s="40"/>
      <c r="Q34" s="40"/>
      <c r="R34" s="39">
        <v>86350</v>
      </c>
      <c r="S34" s="40">
        <f>R34/L34</f>
        <v>0.86350000000000005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4"/>
        <v/>
      </c>
      <c r="AY34" s="43" t="str">
        <f t="shared" si="0"/>
        <v/>
      </c>
      <c r="AZ34" s="42" t="str">
        <f t="shared" si="2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</mergeCells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6C96-F6DD-4FAD-AE47-B3D0B254C0B1}">
  <dimension ref="A1:BD34"/>
  <sheetViews>
    <sheetView topLeftCell="J10" zoomScale="60" zoomScaleNormal="60" workbookViewId="0">
      <selection activeCell="R34" sqref="R34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46149</v>
      </c>
      <c r="B3" s="26" t="s">
        <v>50</v>
      </c>
      <c r="C3" s="218">
        <v>6</v>
      </c>
      <c r="D3" s="217"/>
      <c r="E3" s="50"/>
      <c r="F3" s="51"/>
      <c r="G3" s="51"/>
      <c r="H3" s="51"/>
      <c r="I3" s="54"/>
      <c r="J3" s="52"/>
      <c r="K3" s="53"/>
      <c r="L3" s="143">
        <v>106875</v>
      </c>
      <c r="M3" s="140" t="s">
        <v>112</v>
      </c>
      <c r="N3" s="140" t="s">
        <v>92</v>
      </c>
      <c r="O3" s="139" t="s">
        <v>85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104</v>
      </c>
      <c r="J4" s="55" t="s">
        <v>84</v>
      </c>
      <c r="K4" s="56"/>
      <c r="L4" s="143">
        <v>106875</v>
      </c>
      <c r="M4" s="140" t="s">
        <v>112</v>
      </c>
      <c r="N4" s="140" t="s">
        <v>92</v>
      </c>
      <c r="O4" s="139" t="s">
        <v>85</v>
      </c>
    </row>
    <row r="5" spans="1:23" ht="18.75" thickBot="1" x14ac:dyDescent="0.3">
      <c r="A5" s="215">
        <v>46150</v>
      </c>
      <c r="B5" s="26" t="s">
        <v>50</v>
      </c>
      <c r="C5" s="218"/>
      <c r="D5" s="217"/>
      <c r="E5" s="50" t="s">
        <v>83</v>
      </c>
      <c r="F5" s="51">
        <v>0.03</v>
      </c>
      <c r="G5" s="51">
        <v>0.06</v>
      </c>
      <c r="H5" s="51"/>
      <c r="I5" s="54" t="s">
        <v>135</v>
      </c>
      <c r="J5" s="55" t="s">
        <v>84</v>
      </c>
      <c r="K5" s="56" t="s">
        <v>140</v>
      </c>
      <c r="L5" s="143">
        <v>106875</v>
      </c>
      <c r="M5" s="140" t="s">
        <v>112</v>
      </c>
      <c r="N5" s="140" t="s">
        <v>92</v>
      </c>
      <c r="O5" s="139" t="s">
        <v>85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151</v>
      </c>
      <c r="J6" s="55" t="s">
        <v>84</v>
      </c>
      <c r="K6" s="56"/>
      <c r="L6" s="143">
        <v>106875</v>
      </c>
      <c r="M6" s="140" t="s">
        <v>112</v>
      </c>
      <c r="N6" s="140" t="s">
        <v>92</v>
      </c>
      <c r="O6" s="139" t="s">
        <v>85</v>
      </c>
    </row>
    <row r="7" spans="1:23" ht="18.75" thickBot="1" x14ac:dyDescent="0.3">
      <c r="A7" s="215">
        <v>46151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153</v>
      </c>
      <c r="J7" s="55" t="s">
        <v>84</v>
      </c>
      <c r="K7" s="56"/>
      <c r="L7" s="143">
        <v>106875</v>
      </c>
      <c r="M7" s="140" t="s">
        <v>112</v>
      </c>
      <c r="N7" s="140" t="s">
        <v>92</v>
      </c>
      <c r="O7" s="139" t="s">
        <v>85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>
        <v>0.03</v>
      </c>
      <c r="H8" s="51"/>
      <c r="I8" s="54" t="s">
        <v>184</v>
      </c>
      <c r="J8" s="55" t="s">
        <v>84</v>
      </c>
      <c r="K8" s="56"/>
      <c r="L8" s="143">
        <v>106875</v>
      </c>
      <c r="M8" s="140" t="s">
        <v>112</v>
      </c>
      <c r="N8" s="140" t="s">
        <v>92</v>
      </c>
      <c r="O8" s="139" t="s">
        <v>85</v>
      </c>
    </row>
    <row r="9" spans="1:23" ht="18.75" thickBot="1" x14ac:dyDescent="0.3">
      <c r="A9" s="215">
        <v>46152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200</v>
      </c>
      <c r="J9" s="55" t="s">
        <v>84</v>
      </c>
      <c r="K9" s="56"/>
      <c r="L9" s="143">
        <v>106875</v>
      </c>
      <c r="M9" s="140" t="s">
        <v>112</v>
      </c>
      <c r="N9" s="140" t="s">
        <v>92</v>
      </c>
      <c r="O9" s="139" t="s">
        <v>85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>
        <v>0.03</v>
      </c>
      <c r="G10" s="51"/>
      <c r="H10" s="51"/>
      <c r="I10" s="54" t="s">
        <v>231</v>
      </c>
      <c r="J10" s="55" t="s">
        <v>84</v>
      </c>
      <c r="K10" s="56" t="s">
        <v>140</v>
      </c>
      <c r="L10" s="143">
        <v>106875</v>
      </c>
      <c r="M10" s="140" t="s">
        <v>112</v>
      </c>
      <c r="N10" s="140" t="s">
        <v>92</v>
      </c>
      <c r="O10" s="139" t="s">
        <v>85</v>
      </c>
    </row>
    <row r="11" spans="1:23" ht="18.75" thickBot="1" x14ac:dyDescent="0.3">
      <c r="A11" s="215">
        <v>46153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257</v>
      </c>
      <c r="J11" s="55" t="s">
        <v>84</v>
      </c>
      <c r="K11" s="56"/>
      <c r="L11" s="143">
        <v>106875</v>
      </c>
      <c r="M11" s="140" t="s">
        <v>112</v>
      </c>
      <c r="N11" s="140" t="s">
        <v>92</v>
      </c>
      <c r="O11" s="139" t="s">
        <v>85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>
        <v>0.03</v>
      </c>
      <c r="H12" s="51"/>
      <c r="I12" s="54" t="s">
        <v>231</v>
      </c>
      <c r="J12" s="55" t="s">
        <v>84</v>
      </c>
      <c r="K12" s="56"/>
      <c r="L12" s="143">
        <v>106875</v>
      </c>
      <c r="M12" s="140" t="s">
        <v>112</v>
      </c>
      <c r="N12" s="140" t="s">
        <v>92</v>
      </c>
      <c r="O12" s="139" t="s">
        <v>85</v>
      </c>
      <c r="W12" t="s">
        <v>63</v>
      </c>
    </row>
    <row r="13" spans="1:23" ht="18.75" thickBot="1" x14ac:dyDescent="0.3">
      <c r="A13" s="215">
        <v>46154</v>
      </c>
      <c r="B13" s="26" t="s">
        <v>50</v>
      </c>
      <c r="C13" s="218"/>
      <c r="D13" s="217"/>
      <c r="E13" s="50" t="s">
        <v>271</v>
      </c>
      <c r="F13" s="57"/>
      <c r="G13" s="51">
        <v>0.03</v>
      </c>
      <c r="H13" s="51"/>
      <c r="I13" s="54"/>
      <c r="J13" s="55" t="s">
        <v>84</v>
      </c>
      <c r="K13" s="56"/>
      <c r="L13" s="143">
        <v>106875</v>
      </c>
      <c r="M13" s="140" t="s">
        <v>112</v>
      </c>
      <c r="N13" s="140" t="s">
        <v>92</v>
      </c>
      <c r="O13" s="139" t="s">
        <v>85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286</v>
      </c>
      <c r="F14" s="57"/>
      <c r="G14" s="51"/>
      <c r="H14" s="51"/>
      <c r="I14" s="54"/>
      <c r="J14" s="55" t="s">
        <v>84</v>
      </c>
      <c r="K14" s="56"/>
      <c r="L14" s="143">
        <v>106875</v>
      </c>
      <c r="M14" s="140" t="s">
        <v>112</v>
      </c>
      <c r="N14" s="140" t="s">
        <v>92</v>
      </c>
      <c r="O14" s="139" t="s">
        <v>85</v>
      </c>
    </row>
    <row r="15" spans="1:23" ht="18.75" thickBot="1" x14ac:dyDescent="0.3">
      <c r="A15" s="215">
        <v>46155</v>
      </c>
      <c r="B15" s="26" t="s">
        <v>50</v>
      </c>
      <c r="C15" s="218"/>
      <c r="D15" s="217"/>
      <c r="E15" s="50" t="s">
        <v>299</v>
      </c>
      <c r="F15" s="57"/>
      <c r="G15" s="58"/>
      <c r="H15" s="51"/>
      <c r="I15" s="54"/>
      <c r="J15" s="55" t="s">
        <v>84</v>
      </c>
      <c r="K15" s="56"/>
      <c r="L15" s="143">
        <v>106875</v>
      </c>
      <c r="M15" s="140" t="s">
        <v>112</v>
      </c>
      <c r="N15" s="140" t="s">
        <v>92</v>
      </c>
      <c r="O15" s="139" t="s">
        <v>85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300</v>
      </c>
      <c r="F16" s="57"/>
      <c r="G16" s="58"/>
      <c r="H16" s="51"/>
      <c r="I16" s="54"/>
      <c r="J16" s="55" t="s">
        <v>84</v>
      </c>
      <c r="K16" s="56"/>
      <c r="L16" s="143">
        <v>106875</v>
      </c>
      <c r="M16" s="140" t="s">
        <v>112</v>
      </c>
      <c r="N16" s="140" t="s">
        <v>92</v>
      </c>
      <c r="O16" s="139" t="s">
        <v>85</v>
      </c>
    </row>
    <row r="17" spans="1:56" ht="18.75" thickBot="1" x14ac:dyDescent="0.3">
      <c r="A17" s="215">
        <v>46156</v>
      </c>
      <c r="B17" s="26" t="s">
        <v>50</v>
      </c>
      <c r="C17" s="218"/>
      <c r="D17" s="217"/>
      <c r="E17" s="50" t="s">
        <v>314</v>
      </c>
      <c r="F17" s="57"/>
      <c r="G17" s="58"/>
      <c r="H17" s="51"/>
      <c r="I17" s="54"/>
      <c r="J17" s="55" t="s">
        <v>84</v>
      </c>
      <c r="K17" s="56"/>
      <c r="L17" s="143">
        <v>106875</v>
      </c>
      <c r="M17" s="140" t="s">
        <v>112</v>
      </c>
      <c r="N17" s="140" t="s">
        <v>92</v>
      </c>
      <c r="O17" s="139" t="s">
        <v>85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/>
      <c r="H18" s="51"/>
      <c r="I18" s="54"/>
      <c r="J18" s="55" t="s">
        <v>84</v>
      </c>
      <c r="K18" s="53"/>
      <c r="L18" s="143">
        <v>106875</v>
      </c>
      <c r="M18" s="140" t="s">
        <v>112</v>
      </c>
      <c r="N18" s="140" t="s">
        <v>92</v>
      </c>
      <c r="O18" s="139" t="s">
        <v>85</v>
      </c>
    </row>
    <row r="19" spans="1:56" ht="18.75" thickBot="1" x14ac:dyDescent="0.3">
      <c r="A19" s="215">
        <v>46157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3"/>
      <c r="L19" s="143">
        <v>106875</v>
      </c>
      <c r="M19" s="140" t="s">
        <v>112</v>
      </c>
      <c r="N19" s="140" t="s">
        <v>92</v>
      </c>
      <c r="O19" s="139" t="s">
        <v>85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/>
      <c r="L20" s="143">
        <v>106875</v>
      </c>
      <c r="M20" s="140" t="s">
        <v>112</v>
      </c>
      <c r="N20" s="140" t="s">
        <v>92</v>
      </c>
      <c r="O20" s="139" t="s">
        <v>85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43">
        <v>106875</v>
      </c>
      <c r="M21" s="140" t="s">
        <v>112</v>
      </c>
      <c r="N21" s="140" t="s">
        <v>92</v>
      </c>
      <c r="O21" s="139" t="s">
        <v>85</v>
      </c>
    </row>
    <row r="22" spans="1:56" ht="18.75" thickBot="1" x14ac:dyDescent="0.3">
      <c r="A22" s="215">
        <f>A19+1</f>
        <v>46158</v>
      </c>
      <c r="B22" s="26" t="s">
        <v>50</v>
      </c>
      <c r="C22" s="216">
        <v>6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6"/>
      <c r="L22" s="143">
        <v>106875</v>
      </c>
      <c r="M22" s="140" t="s">
        <v>112</v>
      </c>
      <c r="N22" s="140" t="s">
        <v>92</v>
      </c>
      <c r="O22" s="139" t="s">
        <v>85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43">
        <v>106875</v>
      </c>
      <c r="M23" s="140" t="s">
        <v>112</v>
      </c>
      <c r="N23" s="140" t="s">
        <v>92</v>
      </c>
      <c r="O23" s="139" t="s">
        <v>85</v>
      </c>
    </row>
    <row r="24" spans="1:56" ht="18.75" thickBot="1" x14ac:dyDescent="0.3">
      <c r="A24" s="215">
        <f>A22+1</f>
        <v>46159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43">
        <v>106875</v>
      </c>
      <c r="M24" s="140" t="s">
        <v>112</v>
      </c>
      <c r="N24" s="140" t="s">
        <v>92</v>
      </c>
      <c r="O24" s="139" t="s">
        <v>85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43">
        <v>106875</v>
      </c>
      <c r="M25" s="140" t="s">
        <v>112</v>
      </c>
      <c r="N25" s="140" t="s">
        <v>92</v>
      </c>
      <c r="O25" s="139" t="s">
        <v>85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46160</v>
      </c>
      <c r="B27" s="26" t="s">
        <v>50</v>
      </c>
      <c r="C27" s="222">
        <v>6</v>
      </c>
      <c r="D27" s="222">
        <v>5</v>
      </c>
      <c r="E27" s="219" t="s">
        <v>67</v>
      </c>
      <c r="F27" s="220"/>
      <c r="G27" s="51"/>
      <c r="H27" s="51">
        <v>0.03</v>
      </c>
      <c r="I27" s="51"/>
      <c r="J27" s="55" t="s">
        <v>84</v>
      </c>
      <c r="K27" s="56"/>
      <c r="L27" s="143">
        <v>106875</v>
      </c>
      <c r="M27" s="140" t="s">
        <v>112</v>
      </c>
      <c r="N27" s="140" t="s">
        <v>92</v>
      </c>
      <c r="O27" s="139" t="s">
        <v>85</v>
      </c>
      <c r="P27" s="39">
        <v>56000</v>
      </c>
      <c r="Q27" s="40">
        <f>P27/L27</f>
        <v>0.52397660818713454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8</v>
      </c>
      <c r="AT27" s="41">
        <v>8</v>
      </c>
      <c r="AU27" s="41">
        <v>8</v>
      </c>
      <c r="AV27" s="41">
        <v>8</v>
      </c>
      <c r="AW27" s="41">
        <v>8</v>
      </c>
      <c r="AX27" s="42">
        <f>IF(AW27&gt;0,AVERAGE(T27:AW27),"")</f>
        <v>7.166666666666667</v>
      </c>
      <c r="AY27" s="43">
        <f t="shared" ref="AY27:AY34" si="0">IF(AW27&gt;0,STDEV(T27:AW27),"")</f>
        <v>0.37904902178945171</v>
      </c>
      <c r="AZ27" s="42">
        <f>IF(AW27&gt;0,AY27/AX27*100,"")</f>
        <v>5.2890561179923496</v>
      </c>
      <c r="BA27" s="44" t="s">
        <v>67</v>
      </c>
      <c r="BB27" s="45"/>
      <c r="BC27" s="46"/>
      <c r="BD27" s="47">
        <f t="shared" ref="BD27:BD34" si="1">IF(AW27&gt;0,100-AZ27,"")</f>
        <v>94.710943882007655</v>
      </c>
    </row>
    <row r="28" spans="1:56" ht="18.75" thickBot="1" x14ac:dyDescent="0.3">
      <c r="A28" s="38">
        <f>A27+1</f>
        <v>46161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43">
        <v>106875</v>
      </c>
      <c r="M28" s="140" t="s">
        <v>112</v>
      </c>
      <c r="N28" s="140" t="s">
        <v>92</v>
      </c>
      <c r="O28" s="139" t="s">
        <v>85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7</v>
      </c>
      <c r="AK28" s="41">
        <v>7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>IF(AW28&gt;0,AVERAGE(T28:AW28),"")</f>
        <v>7.4</v>
      </c>
      <c r="AY28" s="43">
        <f>IF(AW28&gt;0,STDEV(T28:AW28),"")</f>
        <v>0.49827287912243973</v>
      </c>
      <c r="AZ28" s="42">
        <f t="shared" ref="AZ28:AZ34" si="2">IF(AW28&gt;0,AY28/AX28*100,"")</f>
        <v>6.7334172854383745</v>
      </c>
      <c r="BA28" s="44" t="s">
        <v>68</v>
      </c>
      <c r="BB28" s="45"/>
      <c r="BC28" s="46"/>
      <c r="BD28" s="47">
        <f t="shared" si="1"/>
        <v>93.266582714561622</v>
      </c>
    </row>
    <row r="29" spans="1:56" ht="18.75" thickBot="1" x14ac:dyDescent="0.3">
      <c r="A29" s="38">
        <f t="shared" ref="A29:A34" si="3">A28+1</f>
        <v>46162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43">
        <v>106875</v>
      </c>
      <c r="M29" s="140" t="s">
        <v>112</v>
      </c>
      <c r="N29" s="140" t="s">
        <v>92</v>
      </c>
      <c r="O29" s="139" t="s">
        <v>85</v>
      </c>
      <c r="P29" s="40"/>
      <c r="Q29" s="40"/>
      <c r="R29" s="40"/>
      <c r="S29" s="40"/>
      <c r="T29" s="41">
        <v>7</v>
      </c>
      <c r="U29" s="41">
        <v>7</v>
      </c>
      <c r="V29" s="41">
        <v>7</v>
      </c>
      <c r="W29" s="41">
        <v>7</v>
      </c>
      <c r="X29" s="41">
        <v>7</v>
      </c>
      <c r="Y29" s="41">
        <v>7</v>
      </c>
      <c r="Z29" s="41">
        <v>7</v>
      </c>
      <c r="AA29" s="41">
        <v>7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8</v>
      </c>
      <c r="AV29" s="41">
        <v>8</v>
      </c>
      <c r="AW29" s="41">
        <v>8</v>
      </c>
      <c r="AX29" s="42">
        <f t="shared" ref="AX29:AX34" si="4">IF(AW29&gt;0,AVERAGE(T29:AW29),"")</f>
        <v>7.7333333333333334</v>
      </c>
      <c r="AY29" s="43">
        <f t="shared" si="0"/>
        <v>0.44977644510880332</v>
      </c>
      <c r="AZ29" s="42">
        <f t="shared" si="2"/>
        <v>5.8160747212345258</v>
      </c>
      <c r="BA29" s="44" t="s">
        <v>69</v>
      </c>
      <c r="BB29" s="45"/>
      <c r="BC29" s="46"/>
      <c r="BD29" s="47">
        <f t="shared" si="1"/>
        <v>94.183925278765471</v>
      </c>
    </row>
    <row r="30" spans="1:56" ht="18.75" thickBot="1" x14ac:dyDescent="0.3">
      <c r="A30" s="38">
        <f t="shared" si="3"/>
        <v>46163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43">
        <v>106875</v>
      </c>
      <c r="M30" s="140" t="s">
        <v>112</v>
      </c>
      <c r="N30" s="140" t="s">
        <v>92</v>
      </c>
      <c r="O30" s="139" t="s">
        <v>85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9</v>
      </c>
      <c r="AB30" s="41">
        <v>9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4"/>
        <v>8.7666666666666675</v>
      </c>
      <c r="AY30" s="43">
        <f t="shared" si="0"/>
        <v>0.43018306715207638</v>
      </c>
      <c r="AZ30" s="42">
        <f t="shared" si="2"/>
        <v>4.9070311842442171</v>
      </c>
      <c r="BA30" s="44" t="s">
        <v>70</v>
      </c>
      <c r="BB30" s="48"/>
      <c r="BC30" s="46"/>
      <c r="BD30" s="47">
        <f t="shared" si="1"/>
        <v>95.092968815755782</v>
      </c>
    </row>
    <row r="31" spans="1:56" ht="18.75" thickBot="1" x14ac:dyDescent="0.3">
      <c r="A31" s="38">
        <f t="shared" si="3"/>
        <v>46164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43">
        <v>106875</v>
      </c>
      <c r="M31" s="140" t="s">
        <v>112</v>
      </c>
      <c r="N31" s="140" t="s">
        <v>92</v>
      </c>
      <c r="O31" s="139" t="s">
        <v>85</v>
      </c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9</v>
      </c>
      <c r="AR31" s="41">
        <v>9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4"/>
        <v>9.1666666666666661</v>
      </c>
      <c r="AY31" s="43">
        <f t="shared" si="0"/>
        <v>0.37904902178945171</v>
      </c>
      <c r="AZ31" s="42">
        <f t="shared" si="2"/>
        <v>4.13508023770311</v>
      </c>
      <c r="BA31" s="44" t="s">
        <v>71</v>
      </c>
      <c r="BB31" s="48"/>
      <c r="BC31" s="49"/>
      <c r="BD31" s="47">
        <f t="shared" si="1"/>
        <v>95.864919762296893</v>
      </c>
    </row>
    <row r="32" spans="1:56" ht="18.75" thickBot="1" x14ac:dyDescent="0.3">
      <c r="A32" s="38">
        <f t="shared" si="3"/>
        <v>46165</v>
      </c>
      <c r="B32" s="26" t="s">
        <v>50</v>
      </c>
      <c r="C32" s="223"/>
      <c r="D32" s="223"/>
      <c r="E32" s="219"/>
      <c r="F32" s="220"/>
      <c r="G32" s="51"/>
      <c r="H32" s="51"/>
      <c r="I32" s="51"/>
      <c r="J32" s="55"/>
      <c r="K32" s="56"/>
      <c r="L32" s="143">
        <v>106875</v>
      </c>
      <c r="M32" s="140" t="s">
        <v>112</v>
      </c>
      <c r="N32" s="140" t="s">
        <v>92</v>
      </c>
      <c r="O32" s="139" t="s">
        <v>85</v>
      </c>
      <c r="P32" s="40"/>
      <c r="Q32" s="40"/>
      <c r="R32" s="40"/>
      <c r="S32" s="40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2" t="str">
        <f t="shared" si="4"/>
        <v/>
      </c>
      <c r="AY32" s="43" t="str">
        <f t="shared" si="0"/>
        <v/>
      </c>
      <c r="AZ32" s="42" t="str">
        <f t="shared" si="2"/>
        <v/>
      </c>
      <c r="BA32" s="44" t="s">
        <v>72</v>
      </c>
      <c r="BB32" s="48"/>
      <c r="BC32" s="49"/>
      <c r="BD32" s="47" t="str">
        <f t="shared" si="1"/>
        <v/>
      </c>
    </row>
    <row r="33" spans="1:56" ht="18.75" thickBot="1" x14ac:dyDescent="0.3">
      <c r="A33" s="38">
        <f t="shared" si="3"/>
        <v>46166</v>
      </c>
      <c r="B33" s="26" t="s">
        <v>50</v>
      </c>
      <c r="C33" s="224"/>
      <c r="D33" s="224"/>
      <c r="E33" s="219"/>
      <c r="F33" s="220"/>
      <c r="G33" s="51"/>
      <c r="H33" s="51"/>
      <c r="I33" s="51"/>
      <c r="J33" s="55"/>
      <c r="K33" s="56"/>
      <c r="L33" s="143">
        <v>106875</v>
      </c>
      <c r="M33" s="140" t="s">
        <v>112</v>
      </c>
      <c r="N33" s="140" t="s">
        <v>92</v>
      </c>
      <c r="O33" s="139" t="s">
        <v>85</v>
      </c>
      <c r="P33" s="40"/>
      <c r="Q33" s="40"/>
      <c r="R33" s="39"/>
      <c r="S33" s="40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2" t="str">
        <f t="shared" si="4"/>
        <v/>
      </c>
      <c r="AY33" s="43" t="str">
        <f t="shared" si="0"/>
        <v/>
      </c>
      <c r="AZ33" s="42" t="str">
        <f t="shared" si="2"/>
        <v/>
      </c>
      <c r="BA33" s="44" t="s">
        <v>73</v>
      </c>
      <c r="BB33" s="48"/>
      <c r="BC33" s="49"/>
      <c r="BD33" s="47" t="str">
        <f t="shared" si="1"/>
        <v/>
      </c>
    </row>
    <row r="34" spans="1:56" ht="18.75" thickBot="1" x14ac:dyDescent="0.3">
      <c r="A34" s="38">
        <f t="shared" si="3"/>
        <v>46167</v>
      </c>
      <c r="B34" s="26" t="s">
        <v>50</v>
      </c>
      <c r="E34" s="219"/>
      <c r="F34" s="220"/>
      <c r="G34" s="51"/>
      <c r="H34" s="51"/>
      <c r="I34" s="51"/>
      <c r="J34" s="55"/>
      <c r="K34" s="56"/>
      <c r="L34" s="143">
        <v>106875</v>
      </c>
      <c r="M34" s="140" t="s">
        <v>112</v>
      </c>
      <c r="N34" s="140" t="s">
        <v>92</v>
      </c>
      <c r="O34" s="139" t="s">
        <v>85</v>
      </c>
      <c r="P34" s="40"/>
      <c r="Q34" s="40"/>
      <c r="R34" s="39">
        <v>52600</v>
      </c>
      <c r="S34" s="40">
        <f>R34/L34</f>
        <v>0.49216374269005847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4"/>
        <v/>
      </c>
      <c r="AY34" s="43" t="str">
        <f t="shared" si="0"/>
        <v/>
      </c>
      <c r="AZ34" s="42" t="str">
        <f t="shared" si="2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EED4-B314-496E-8CB9-09594947C542}">
  <dimension ref="A1:BD34"/>
  <sheetViews>
    <sheetView topLeftCell="J10" zoomScale="60" zoomScaleNormal="60" workbookViewId="0">
      <selection activeCell="R35" sqref="R35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46149</v>
      </c>
      <c r="B3" s="26" t="s">
        <v>50</v>
      </c>
      <c r="C3" s="218">
        <v>7</v>
      </c>
      <c r="D3" s="217"/>
      <c r="E3" s="50"/>
      <c r="F3" s="51"/>
      <c r="G3" s="51"/>
      <c r="H3" s="51"/>
      <c r="I3" s="54"/>
      <c r="J3" s="52"/>
      <c r="K3" s="53"/>
      <c r="L3" s="143">
        <v>100833</v>
      </c>
      <c r="M3" s="140" t="s">
        <v>113</v>
      </c>
      <c r="N3" s="140" t="s">
        <v>92</v>
      </c>
      <c r="O3" s="139" t="s">
        <v>85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98</v>
      </c>
      <c r="J4" s="55" t="s">
        <v>84</v>
      </c>
      <c r="K4" s="56"/>
      <c r="L4" s="143">
        <v>100833</v>
      </c>
      <c r="M4" s="140" t="s">
        <v>113</v>
      </c>
      <c r="N4" s="140" t="s">
        <v>92</v>
      </c>
      <c r="O4" s="139" t="s">
        <v>85</v>
      </c>
    </row>
    <row r="5" spans="1:23" ht="18.75" thickBot="1" x14ac:dyDescent="0.3">
      <c r="A5" s="215">
        <v>46150</v>
      </c>
      <c r="B5" s="26" t="s">
        <v>50</v>
      </c>
      <c r="C5" s="218"/>
      <c r="D5" s="217"/>
      <c r="E5" s="50" t="s">
        <v>83</v>
      </c>
      <c r="F5" s="51">
        <v>0.03</v>
      </c>
      <c r="G5" s="51">
        <v>0.03</v>
      </c>
      <c r="H5" s="51"/>
      <c r="I5" s="54" t="s">
        <v>141</v>
      </c>
      <c r="J5" s="55" t="s">
        <v>84</v>
      </c>
      <c r="K5" s="56" t="s">
        <v>140</v>
      </c>
      <c r="L5" s="143">
        <v>100833</v>
      </c>
      <c r="M5" s="140" t="s">
        <v>113</v>
      </c>
      <c r="N5" s="140" t="s">
        <v>92</v>
      </c>
      <c r="O5" s="139" t="s">
        <v>85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152</v>
      </c>
      <c r="J6" s="55" t="s">
        <v>84</v>
      </c>
      <c r="K6" s="56"/>
      <c r="L6" s="143">
        <v>100833</v>
      </c>
      <c r="M6" s="140" t="s">
        <v>113</v>
      </c>
      <c r="N6" s="140" t="s">
        <v>92</v>
      </c>
      <c r="O6" s="139" t="s">
        <v>85</v>
      </c>
    </row>
    <row r="7" spans="1:23" ht="18.75" thickBot="1" x14ac:dyDescent="0.3">
      <c r="A7" s="215">
        <v>46151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168</v>
      </c>
      <c r="J7" s="55" t="s">
        <v>84</v>
      </c>
      <c r="K7" s="56"/>
      <c r="L7" s="143">
        <v>100833</v>
      </c>
      <c r="M7" s="140" t="s">
        <v>113</v>
      </c>
      <c r="N7" s="140" t="s">
        <v>92</v>
      </c>
      <c r="O7" s="139" t="s">
        <v>85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185</v>
      </c>
      <c r="J8" s="55" t="s">
        <v>84</v>
      </c>
      <c r="K8" s="56"/>
      <c r="L8" s="143">
        <v>100833</v>
      </c>
      <c r="M8" s="140" t="s">
        <v>113</v>
      </c>
      <c r="N8" s="140" t="s">
        <v>92</v>
      </c>
      <c r="O8" s="139" t="s">
        <v>85</v>
      </c>
    </row>
    <row r="9" spans="1:23" ht="18.75" thickBot="1" x14ac:dyDescent="0.3">
      <c r="A9" s="215">
        <v>46152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201</v>
      </c>
      <c r="J9" s="55" t="s">
        <v>84</v>
      </c>
      <c r="K9" s="56"/>
      <c r="L9" s="143">
        <v>100833</v>
      </c>
      <c r="M9" s="140" t="s">
        <v>113</v>
      </c>
      <c r="N9" s="140" t="s">
        <v>92</v>
      </c>
      <c r="O9" s="139" t="s">
        <v>85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135</v>
      </c>
      <c r="J10" s="55" t="s">
        <v>84</v>
      </c>
      <c r="K10" s="56"/>
      <c r="L10" s="143">
        <v>100833</v>
      </c>
      <c r="M10" s="140" t="s">
        <v>113</v>
      </c>
      <c r="N10" s="140" t="s">
        <v>92</v>
      </c>
      <c r="O10" s="139" t="s">
        <v>85</v>
      </c>
    </row>
    <row r="11" spans="1:23" ht="18.75" thickBot="1" x14ac:dyDescent="0.3">
      <c r="A11" s="215">
        <v>46153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102</v>
      </c>
      <c r="J11" s="55" t="s">
        <v>84</v>
      </c>
      <c r="K11" s="56"/>
      <c r="L11" s="143">
        <v>100833</v>
      </c>
      <c r="M11" s="140" t="s">
        <v>113</v>
      </c>
      <c r="N11" s="140" t="s">
        <v>92</v>
      </c>
      <c r="O11" s="139" t="s">
        <v>85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258</v>
      </c>
      <c r="J12" s="55" t="s">
        <v>84</v>
      </c>
      <c r="K12" s="56"/>
      <c r="L12" s="143">
        <v>100833</v>
      </c>
      <c r="M12" s="140" t="s">
        <v>113</v>
      </c>
      <c r="N12" s="140" t="s">
        <v>92</v>
      </c>
      <c r="O12" s="139" t="s">
        <v>85</v>
      </c>
      <c r="W12" t="s">
        <v>63</v>
      </c>
    </row>
    <row r="13" spans="1:23" ht="18.75" thickBot="1" x14ac:dyDescent="0.3">
      <c r="A13" s="215">
        <v>46154</v>
      </c>
      <c r="B13" s="26" t="s">
        <v>50</v>
      </c>
      <c r="C13" s="218"/>
      <c r="D13" s="217"/>
      <c r="E13" s="50" t="s">
        <v>272</v>
      </c>
      <c r="F13" s="57"/>
      <c r="G13" s="51"/>
      <c r="H13" s="51"/>
      <c r="I13" s="54"/>
      <c r="J13" s="55" t="s">
        <v>84</v>
      </c>
      <c r="K13" s="56"/>
      <c r="L13" s="143">
        <v>100833</v>
      </c>
      <c r="M13" s="140" t="s">
        <v>113</v>
      </c>
      <c r="N13" s="140" t="s">
        <v>92</v>
      </c>
      <c r="O13" s="139" t="s">
        <v>85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287</v>
      </c>
      <c r="F14" s="57"/>
      <c r="G14" s="51"/>
      <c r="H14" s="51"/>
      <c r="I14" s="54"/>
      <c r="J14" s="55" t="s">
        <v>84</v>
      </c>
      <c r="K14" s="56"/>
      <c r="L14" s="143">
        <v>100833</v>
      </c>
      <c r="M14" s="140" t="s">
        <v>113</v>
      </c>
      <c r="N14" s="140" t="s">
        <v>92</v>
      </c>
      <c r="O14" s="139" t="s">
        <v>85</v>
      </c>
    </row>
    <row r="15" spans="1:23" ht="18.75" thickBot="1" x14ac:dyDescent="0.3">
      <c r="A15" s="215">
        <v>46155</v>
      </c>
      <c r="B15" s="26" t="s">
        <v>50</v>
      </c>
      <c r="C15" s="218"/>
      <c r="D15" s="217"/>
      <c r="E15" s="50" t="s">
        <v>300</v>
      </c>
      <c r="F15" s="57"/>
      <c r="G15" s="58"/>
      <c r="H15" s="51"/>
      <c r="I15" s="54"/>
      <c r="J15" s="55" t="s">
        <v>84</v>
      </c>
      <c r="K15" s="56"/>
      <c r="L15" s="143">
        <v>100833</v>
      </c>
      <c r="M15" s="140" t="s">
        <v>113</v>
      </c>
      <c r="N15" s="140" t="s">
        <v>92</v>
      </c>
      <c r="O15" s="139" t="s">
        <v>85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308</v>
      </c>
      <c r="F16" s="57"/>
      <c r="G16" s="58"/>
      <c r="H16" s="51"/>
      <c r="I16" s="54"/>
      <c r="J16" s="55" t="s">
        <v>84</v>
      </c>
      <c r="K16" s="56"/>
      <c r="L16" s="143">
        <v>100833</v>
      </c>
      <c r="M16" s="140" t="s">
        <v>113</v>
      </c>
      <c r="N16" s="140" t="s">
        <v>92</v>
      </c>
      <c r="O16" s="139" t="s">
        <v>85</v>
      </c>
    </row>
    <row r="17" spans="1:56" ht="18.75" thickBot="1" x14ac:dyDescent="0.3">
      <c r="A17" s="215">
        <v>46156</v>
      </c>
      <c r="B17" s="26" t="s">
        <v>50</v>
      </c>
      <c r="C17" s="218"/>
      <c r="D17" s="217"/>
      <c r="E17" s="50" t="s">
        <v>308</v>
      </c>
      <c r="F17" s="57">
        <v>0.03</v>
      </c>
      <c r="G17" s="58"/>
      <c r="H17" s="51"/>
      <c r="I17" s="54"/>
      <c r="J17" s="55" t="s">
        <v>84</v>
      </c>
      <c r="K17" s="56" t="s">
        <v>233</v>
      </c>
      <c r="L17" s="143">
        <v>100833</v>
      </c>
      <c r="M17" s="140" t="s">
        <v>113</v>
      </c>
      <c r="N17" s="140" t="s">
        <v>92</v>
      </c>
      <c r="O17" s="139" t="s">
        <v>85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/>
      <c r="H18" s="51"/>
      <c r="I18" s="54"/>
      <c r="J18" s="55" t="s">
        <v>84</v>
      </c>
      <c r="K18" s="53"/>
      <c r="L18" s="143">
        <v>100833</v>
      </c>
      <c r="M18" s="140" t="s">
        <v>113</v>
      </c>
      <c r="N18" s="140" t="s">
        <v>92</v>
      </c>
      <c r="O18" s="139" t="s">
        <v>85</v>
      </c>
    </row>
    <row r="19" spans="1:56" ht="18.75" thickBot="1" x14ac:dyDescent="0.3">
      <c r="A19" s="215">
        <v>46157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3"/>
      <c r="L19" s="143">
        <v>100833</v>
      </c>
      <c r="M19" s="140" t="s">
        <v>113</v>
      </c>
      <c r="N19" s="140" t="s">
        <v>92</v>
      </c>
      <c r="O19" s="139" t="s">
        <v>85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/>
      <c r="L20" s="143">
        <v>100833</v>
      </c>
      <c r="M20" s="140" t="s">
        <v>113</v>
      </c>
      <c r="N20" s="140" t="s">
        <v>92</v>
      </c>
      <c r="O20" s="139" t="s">
        <v>85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43">
        <v>100833</v>
      </c>
      <c r="M21" s="140" t="s">
        <v>113</v>
      </c>
      <c r="N21" s="140" t="s">
        <v>92</v>
      </c>
      <c r="O21" s="139" t="s">
        <v>85</v>
      </c>
    </row>
    <row r="22" spans="1:56" ht="18.75" thickBot="1" x14ac:dyDescent="0.3">
      <c r="A22" s="215">
        <f>A19+1</f>
        <v>46158</v>
      </c>
      <c r="B22" s="26" t="s">
        <v>50</v>
      </c>
      <c r="C22" s="216">
        <v>7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6"/>
      <c r="L22" s="143">
        <v>100833</v>
      </c>
      <c r="M22" s="140" t="s">
        <v>113</v>
      </c>
      <c r="N22" s="140" t="s">
        <v>92</v>
      </c>
      <c r="O22" s="139" t="s">
        <v>85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43">
        <v>100833</v>
      </c>
      <c r="M23" s="140" t="s">
        <v>113</v>
      </c>
      <c r="N23" s="140" t="s">
        <v>92</v>
      </c>
      <c r="O23" s="139" t="s">
        <v>85</v>
      </c>
    </row>
    <row r="24" spans="1:56" ht="18.75" thickBot="1" x14ac:dyDescent="0.3">
      <c r="A24" s="215">
        <f>A22+1</f>
        <v>46159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43">
        <v>100833</v>
      </c>
      <c r="M24" s="140" t="s">
        <v>113</v>
      </c>
      <c r="N24" s="140" t="s">
        <v>92</v>
      </c>
      <c r="O24" s="139" t="s">
        <v>85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43">
        <v>100833</v>
      </c>
      <c r="M25" s="140" t="s">
        <v>113</v>
      </c>
      <c r="N25" s="140" t="s">
        <v>92</v>
      </c>
      <c r="O25" s="139" t="s">
        <v>85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46160</v>
      </c>
      <c r="B27" s="26" t="s">
        <v>50</v>
      </c>
      <c r="C27" s="222">
        <v>7</v>
      </c>
      <c r="D27" s="222">
        <v>6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43">
        <v>100833</v>
      </c>
      <c r="M27" s="140" t="s">
        <v>113</v>
      </c>
      <c r="N27" s="140" t="s">
        <v>92</v>
      </c>
      <c r="O27" s="139" t="s">
        <v>85</v>
      </c>
      <c r="P27" s="39">
        <v>41000</v>
      </c>
      <c r="Q27" s="40">
        <f>P27/L27</f>
        <v>0.40661291442285757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8</v>
      </c>
      <c r="AU27" s="41">
        <v>8</v>
      </c>
      <c r="AV27" s="41">
        <v>8</v>
      </c>
      <c r="AW27" s="41">
        <v>8</v>
      </c>
      <c r="AX27" s="42">
        <f>IF(AW27&gt;0,AVERAGE(T27:AW27),"")</f>
        <v>7.1333333333333337</v>
      </c>
      <c r="AY27" s="43">
        <f t="shared" ref="AY27:AY34" si="0">IF(AW27&gt;0,STDEV(T27:AW27),"")</f>
        <v>0.34574590364176039</v>
      </c>
      <c r="AZ27" s="42">
        <f>IF(AW27&gt;0,AY27/AX27*100,"")</f>
        <v>4.8469051912396308</v>
      </c>
      <c r="BA27" s="44" t="s">
        <v>67</v>
      </c>
      <c r="BB27" s="45"/>
      <c r="BC27" s="46"/>
      <c r="BD27" s="47">
        <f t="shared" ref="BD27:BD34" si="1">IF(AW27&gt;0,100-AZ27,"")</f>
        <v>95.153094808760372</v>
      </c>
    </row>
    <row r="28" spans="1:56" ht="18.75" thickBot="1" x14ac:dyDescent="0.3">
      <c r="A28" s="38">
        <f>A27+1</f>
        <v>46161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43">
        <v>100833</v>
      </c>
      <c r="M28" s="140" t="s">
        <v>113</v>
      </c>
      <c r="N28" s="140" t="s">
        <v>92</v>
      </c>
      <c r="O28" s="139" t="s">
        <v>85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>IF(AW28&gt;0,AVERAGE(T28:AW28),"")</f>
        <v>7.4666666666666668</v>
      </c>
      <c r="AY28" s="43">
        <f>IF(AW28&gt;0,STDEV(T28:AW28),"")</f>
        <v>0.50741626340492496</v>
      </c>
      <c r="AZ28" s="42">
        <f t="shared" ref="AZ28:AZ34" si="2">IF(AW28&gt;0,AY28/AX28*100,"")</f>
        <v>6.7957535277445302</v>
      </c>
      <c r="BA28" s="44" t="s">
        <v>68</v>
      </c>
      <c r="BB28" s="45"/>
      <c r="BC28" s="46"/>
      <c r="BD28" s="47">
        <f t="shared" si="1"/>
        <v>93.204246472255477</v>
      </c>
    </row>
    <row r="29" spans="1:56" ht="18.75" thickBot="1" x14ac:dyDescent="0.3">
      <c r="A29" s="38">
        <f t="shared" ref="A29:A34" si="3">A28+1</f>
        <v>46162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43">
        <v>100833</v>
      </c>
      <c r="M29" s="140" t="s">
        <v>113</v>
      </c>
      <c r="N29" s="140" t="s">
        <v>92</v>
      </c>
      <c r="O29" s="139" t="s">
        <v>85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9</v>
      </c>
      <c r="AR29" s="41">
        <v>9</v>
      </c>
      <c r="AS29" s="41">
        <v>9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ref="AX29:AX34" si="4">IF(AW29&gt;0,AVERAGE(T29:AW29),"")</f>
        <v>8.2333333333333325</v>
      </c>
      <c r="AY29" s="43">
        <f t="shared" si="0"/>
        <v>0.43018306715207638</v>
      </c>
      <c r="AZ29" s="42">
        <f t="shared" si="2"/>
        <v>5.2248955524543694</v>
      </c>
      <c r="BA29" s="44" t="s">
        <v>69</v>
      </c>
      <c r="BB29" s="45"/>
      <c r="BC29" s="46"/>
      <c r="BD29" s="47">
        <f t="shared" si="1"/>
        <v>94.77510444754563</v>
      </c>
    </row>
    <row r="30" spans="1:56" ht="18.75" thickBot="1" x14ac:dyDescent="0.3">
      <c r="A30" s="38">
        <f t="shared" si="3"/>
        <v>46163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43">
        <v>100833</v>
      </c>
      <c r="M30" s="140" t="s">
        <v>113</v>
      </c>
      <c r="N30" s="140" t="s">
        <v>92</v>
      </c>
      <c r="O30" s="139" t="s">
        <v>85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4"/>
        <v>8.6666666666666661</v>
      </c>
      <c r="AY30" s="43">
        <f t="shared" si="0"/>
        <v>0.47946330148538424</v>
      </c>
      <c r="AZ30" s="42">
        <f t="shared" si="2"/>
        <v>5.5322688632928951</v>
      </c>
      <c r="BA30" s="44" t="s">
        <v>70</v>
      </c>
      <c r="BB30" s="48"/>
      <c r="BC30" s="46"/>
      <c r="BD30" s="47">
        <f t="shared" si="1"/>
        <v>94.467731136707101</v>
      </c>
    </row>
    <row r="31" spans="1:56" ht="18.75" thickBot="1" x14ac:dyDescent="0.3">
      <c r="A31" s="38">
        <f t="shared" si="3"/>
        <v>46164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43">
        <v>100833</v>
      </c>
      <c r="M31" s="140" t="s">
        <v>113</v>
      </c>
      <c r="N31" s="140" t="s">
        <v>92</v>
      </c>
      <c r="O31" s="139" t="s">
        <v>85</v>
      </c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4"/>
        <v>9.2333333333333325</v>
      </c>
      <c r="AY31" s="43">
        <f t="shared" si="0"/>
        <v>0.43018306715207638</v>
      </c>
      <c r="AZ31" s="42">
        <f t="shared" si="2"/>
        <v>4.6590223879286254</v>
      </c>
      <c r="BA31" s="44" t="s">
        <v>71</v>
      </c>
      <c r="BB31" s="48"/>
      <c r="BC31" s="49"/>
      <c r="BD31" s="47">
        <f t="shared" si="1"/>
        <v>95.34097761207137</v>
      </c>
    </row>
    <row r="32" spans="1:56" ht="18.75" thickBot="1" x14ac:dyDescent="0.3">
      <c r="A32" s="38">
        <f t="shared" si="3"/>
        <v>46165</v>
      </c>
      <c r="B32" s="26" t="s">
        <v>50</v>
      </c>
      <c r="C32" s="223"/>
      <c r="D32" s="223"/>
      <c r="E32" s="219"/>
      <c r="F32" s="220"/>
      <c r="G32" s="51"/>
      <c r="H32" s="51"/>
      <c r="I32" s="51"/>
      <c r="J32" s="55"/>
      <c r="K32" s="56"/>
      <c r="L32" s="143">
        <v>100833</v>
      </c>
      <c r="M32" s="140" t="s">
        <v>113</v>
      </c>
      <c r="N32" s="140" t="s">
        <v>92</v>
      </c>
      <c r="O32" s="139" t="s">
        <v>85</v>
      </c>
      <c r="P32" s="40"/>
      <c r="Q32" s="40"/>
      <c r="R32" s="40"/>
      <c r="S32" s="40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2" t="str">
        <f t="shared" si="4"/>
        <v/>
      </c>
      <c r="AY32" s="43" t="str">
        <f t="shared" si="0"/>
        <v/>
      </c>
      <c r="AZ32" s="42" t="str">
        <f t="shared" si="2"/>
        <v/>
      </c>
      <c r="BA32" s="44" t="s">
        <v>72</v>
      </c>
      <c r="BB32" s="48"/>
      <c r="BC32" s="49"/>
      <c r="BD32" s="47" t="str">
        <f t="shared" si="1"/>
        <v/>
      </c>
    </row>
    <row r="33" spans="1:56" ht="18.75" thickBot="1" x14ac:dyDescent="0.3">
      <c r="A33" s="38">
        <f t="shared" si="3"/>
        <v>46166</v>
      </c>
      <c r="B33" s="26" t="s">
        <v>50</v>
      </c>
      <c r="C33" s="224"/>
      <c r="D33" s="224"/>
      <c r="E33" s="219"/>
      <c r="F33" s="220"/>
      <c r="G33" s="51"/>
      <c r="H33" s="51"/>
      <c r="I33" s="51"/>
      <c r="J33" s="55"/>
      <c r="K33" s="56"/>
      <c r="L33" s="143">
        <v>100833</v>
      </c>
      <c r="M33" s="140" t="s">
        <v>113</v>
      </c>
      <c r="N33" s="140" t="s">
        <v>92</v>
      </c>
      <c r="O33" s="139" t="s">
        <v>85</v>
      </c>
      <c r="P33" s="40"/>
      <c r="Q33" s="40"/>
      <c r="R33" s="39"/>
      <c r="S33" s="40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2" t="str">
        <f t="shared" si="4"/>
        <v/>
      </c>
      <c r="AY33" s="43" t="str">
        <f t="shared" si="0"/>
        <v/>
      </c>
      <c r="AZ33" s="42" t="str">
        <f t="shared" si="2"/>
        <v/>
      </c>
      <c r="BA33" s="44" t="s">
        <v>73</v>
      </c>
      <c r="BB33" s="48"/>
      <c r="BC33" s="49"/>
      <c r="BD33" s="47" t="str">
        <f t="shared" si="1"/>
        <v/>
      </c>
    </row>
    <row r="34" spans="1:56" ht="18.75" thickBot="1" x14ac:dyDescent="0.3">
      <c r="A34" s="38">
        <f t="shared" si="3"/>
        <v>46167</v>
      </c>
      <c r="B34" s="26" t="s">
        <v>50</v>
      </c>
      <c r="E34" s="219"/>
      <c r="F34" s="220"/>
      <c r="G34" s="51"/>
      <c r="H34" s="51"/>
      <c r="I34" s="51"/>
      <c r="J34" s="55"/>
      <c r="K34" s="56"/>
      <c r="L34" s="143">
        <v>100833</v>
      </c>
      <c r="M34" s="140" t="s">
        <v>113</v>
      </c>
      <c r="N34" s="140" t="s">
        <v>92</v>
      </c>
      <c r="O34" s="139" t="s">
        <v>85</v>
      </c>
      <c r="P34" s="40"/>
      <c r="Q34" s="40"/>
      <c r="R34" s="39">
        <v>47800</v>
      </c>
      <c r="S34" s="40">
        <f>R34/L34</f>
        <v>0.47405115388811203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4"/>
        <v/>
      </c>
      <c r="AY34" s="43" t="str">
        <f t="shared" si="0"/>
        <v/>
      </c>
      <c r="AZ34" s="42" t="str">
        <f t="shared" si="2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7E2C-0DAF-4035-93FB-AE701A3C90A6}">
  <dimension ref="A1:BD34"/>
  <sheetViews>
    <sheetView topLeftCell="J16" zoomScale="60" zoomScaleNormal="60" workbookViewId="0">
      <selection activeCell="X33" sqref="X33:AK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46149</v>
      </c>
      <c r="B3" s="26" t="s">
        <v>50</v>
      </c>
      <c r="C3" s="218">
        <v>8</v>
      </c>
      <c r="D3" s="217"/>
      <c r="E3" s="50"/>
      <c r="F3" s="51"/>
      <c r="G3" s="51"/>
      <c r="H3" s="51"/>
      <c r="I3" s="54"/>
      <c r="J3" s="52"/>
      <c r="K3" s="53"/>
      <c r="L3" s="143">
        <v>100000</v>
      </c>
      <c r="M3" s="140" t="s">
        <v>114</v>
      </c>
      <c r="N3" s="140" t="s">
        <v>96</v>
      </c>
      <c r="O3" s="139" t="s">
        <v>85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130</v>
      </c>
      <c r="J4" s="55" t="s">
        <v>95</v>
      </c>
      <c r="K4" s="56"/>
      <c r="L4" s="143">
        <v>100000</v>
      </c>
      <c r="M4" s="140" t="s">
        <v>114</v>
      </c>
      <c r="N4" s="140" t="s">
        <v>96</v>
      </c>
      <c r="O4" s="139" t="s">
        <v>85</v>
      </c>
    </row>
    <row r="5" spans="1:23" ht="18.75" thickBot="1" x14ac:dyDescent="0.3">
      <c r="A5" s="215">
        <v>46150</v>
      </c>
      <c r="B5" s="26" t="s">
        <v>50</v>
      </c>
      <c r="C5" s="218"/>
      <c r="D5" s="217"/>
      <c r="E5" s="50" t="s">
        <v>83</v>
      </c>
      <c r="F5" s="51"/>
      <c r="G5" s="51">
        <v>0.03</v>
      </c>
      <c r="H5" s="51"/>
      <c r="I5" s="54" t="s">
        <v>142</v>
      </c>
      <c r="J5" s="55" t="s">
        <v>84</v>
      </c>
      <c r="K5" s="56"/>
      <c r="L5" s="143">
        <v>100000</v>
      </c>
      <c r="M5" s="140" t="s">
        <v>114</v>
      </c>
      <c r="N5" s="140" t="s">
        <v>96</v>
      </c>
      <c r="O5" s="139" t="s">
        <v>85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>
        <v>0.06</v>
      </c>
      <c r="H6" s="51"/>
      <c r="I6" s="54" t="s">
        <v>153</v>
      </c>
      <c r="J6" s="55" t="s">
        <v>84</v>
      </c>
      <c r="K6" s="56"/>
      <c r="L6" s="143">
        <v>100000</v>
      </c>
      <c r="M6" s="140" t="s">
        <v>114</v>
      </c>
      <c r="N6" s="140" t="s">
        <v>96</v>
      </c>
      <c r="O6" s="139" t="s">
        <v>85</v>
      </c>
    </row>
    <row r="7" spans="1:23" ht="18.75" thickBot="1" x14ac:dyDescent="0.3">
      <c r="A7" s="215">
        <v>46151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170</v>
      </c>
      <c r="J7" s="55" t="s">
        <v>84</v>
      </c>
      <c r="K7" s="56"/>
      <c r="L7" s="143">
        <v>100000</v>
      </c>
      <c r="M7" s="140" t="s">
        <v>114</v>
      </c>
      <c r="N7" s="140" t="s">
        <v>96</v>
      </c>
      <c r="O7" s="139" t="s">
        <v>85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142</v>
      </c>
      <c r="J8" s="55" t="s">
        <v>84</v>
      </c>
      <c r="K8" s="56"/>
      <c r="L8" s="143">
        <v>100000</v>
      </c>
      <c r="M8" s="140" t="s">
        <v>114</v>
      </c>
      <c r="N8" s="140" t="s">
        <v>96</v>
      </c>
      <c r="O8" s="139" t="s">
        <v>85</v>
      </c>
    </row>
    <row r="9" spans="1:23" ht="18.75" thickBot="1" x14ac:dyDescent="0.3">
      <c r="A9" s="215">
        <v>46152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202</v>
      </c>
      <c r="J9" s="55" t="s">
        <v>84</v>
      </c>
      <c r="K9" s="56"/>
      <c r="L9" s="143">
        <v>100000</v>
      </c>
      <c r="M9" s="140" t="s">
        <v>114</v>
      </c>
      <c r="N9" s="140" t="s">
        <v>96</v>
      </c>
      <c r="O9" s="139" t="s">
        <v>85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232</v>
      </c>
      <c r="J10" s="55" t="s">
        <v>84</v>
      </c>
      <c r="K10" s="56"/>
      <c r="L10" s="143">
        <v>100000</v>
      </c>
      <c r="M10" s="140" t="s">
        <v>114</v>
      </c>
      <c r="N10" s="140" t="s">
        <v>96</v>
      </c>
      <c r="O10" s="139" t="s">
        <v>85</v>
      </c>
    </row>
    <row r="11" spans="1:23" ht="18.75" thickBot="1" x14ac:dyDescent="0.3">
      <c r="A11" s="215">
        <v>46153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178</v>
      </c>
      <c r="J11" s="55" t="s">
        <v>84</v>
      </c>
      <c r="K11" s="56"/>
      <c r="L11" s="143">
        <v>100000</v>
      </c>
      <c r="M11" s="140" t="s">
        <v>114</v>
      </c>
      <c r="N11" s="140" t="s">
        <v>96</v>
      </c>
      <c r="O11" s="139" t="s">
        <v>85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139</v>
      </c>
      <c r="J12" s="55" t="s">
        <v>84</v>
      </c>
      <c r="K12" s="56"/>
      <c r="L12" s="143">
        <v>100000</v>
      </c>
      <c r="M12" s="140" t="s">
        <v>114</v>
      </c>
      <c r="N12" s="140" t="s">
        <v>96</v>
      </c>
      <c r="O12" s="139" t="s">
        <v>85</v>
      </c>
      <c r="W12" t="s">
        <v>63</v>
      </c>
    </row>
    <row r="13" spans="1:23" ht="18.75" thickBot="1" x14ac:dyDescent="0.3">
      <c r="A13" s="215">
        <v>46154</v>
      </c>
      <c r="B13" s="26" t="s">
        <v>50</v>
      </c>
      <c r="C13" s="218"/>
      <c r="D13" s="217"/>
      <c r="E13" s="50" t="s">
        <v>269</v>
      </c>
      <c r="F13" s="57"/>
      <c r="G13" s="51"/>
      <c r="H13" s="51"/>
      <c r="I13" s="54"/>
      <c r="J13" s="55" t="s">
        <v>84</v>
      </c>
      <c r="K13" s="56"/>
      <c r="L13" s="143">
        <v>100000</v>
      </c>
      <c r="M13" s="140" t="s">
        <v>114</v>
      </c>
      <c r="N13" s="140" t="s">
        <v>96</v>
      </c>
      <c r="O13" s="139" t="s">
        <v>85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284</v>
      </c>
      <c r="F14" s="57"/>
      <c r="G14" s="51"/>
      <c r="H14" s="51"/>
      <c r="I14" s="54"/>
      <c r="J14" s="55" t="s">
        <v>84</v>
      </c>
      <c r="K14" s="56"/>
      <c r="L14" s="143">
        <v>100000</v>
      </c>
      <c r="M14" s="140" t="s">
        <v>114</v>
      </c>
      <c r="N14" s="140" t="s">
        <v>96</v>
      </c>
      <c r="O14" s="139" t="s">
        <v>85</v>
      </c>
    </row>
    <row r="15" spans="1:23" ht="18.75" thickBot="1" x14ac:dyDescent="0.3">
      <c r="A15" s="215">
        <v>46155</v>
      </c>
      <c r="B15" s="26" t="s">
        <v>50</v>
      </c>
      <c r="C15" s="218"/>
      <c r="D15" s="217"/>
      <c r="E15" s="50" t="s">
        <v>300</v>
      </c>
      <c r="F15" s="57"/>
      <c r="G15" s="58"/>
      <c r="H15" s="51"/>
      <c r="I15" s="54"/>
      <c r="J15" s="55" t="s">
        <v>84</v>
      </c>
      <c r="K15" s="56"/>
      <c r="L15" s="143">
        <v>100000</v>
      </c>
      <c r="M15" s="140" t="s">
        <v>114</v>
      </c>
      <c r="N15" s="140" t="s">
        <v>96</v>
      </c>
      <c r="O15" s="139" t="s">
        <v>85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309</v>
      </c>
      <c r="F16" s="57"/>
      <c r="G16" s="58"/>
      <c r="H16" s="51"/>
      <c r="I16" s="54"/>
      <c r="J16" s="55" t="s">
        <v>84</v>
      </c>
      <c r="K16" s="56"/>
      <c r="L16" s="143">
        <v>100000</v>
      </c>
      <c r="M16" s="140" t="s">
        <v>114</v>
      </c>
      <c r="N16" s="140" t="s">
        <v>96</v>
      </c>
      <c r="O16" s="139" t="s">
        <v>85</v>
      </c>
    </row>
    <row r="17" spans="1:56" ht="18.75" thickBot="1" x14ac:dyDescent="0.3">
      <c r="A17" s="215">
        <v>46156</v>
      </c>
      <c r="B17" s="26" t="s">
        <v>50</v>
      </c>
      <c r="C17" s="218"/>
      <c r="D17" s="217"/>
      <c r="E17" s="50" t="s">
        <v>314</v>
      </c>
      <c r="F17" s="57"/>
      <c r="G17" s="58"/>
      <c r="H17" s="51"/>
      <c r="I17" s="54"/>
      <c r="J17" s="55" t="s">
        <v>84</v>
      </c>
      <c r="K17" s="56"/>
      <c r="L17" s="143">
        <v>100000</v>
      </c>
      <c r="M17" s="140" t="s">
        <v>114</v>
      </c>
      <c r="N17" s="140" t="s">
        <v>96</v>
      </c>
      <c r="O17" s="139" t="s">
        <v>85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/>
      <c r="H18" s="51"/>
      <c r="I18" s="54"/>
      <c r="J18" s="55" t="s">
        <v>84</v>
      </c>
      <c r="K18" s="53"/>
      <c r="L18" s="143">
        <v>100000</v>
      </c>
      <c r="M18" s="140" t="s">
        <v>114</v>
      </c>
      <c r="N18" s="140" t="s">
        <v>96</v>
      </c>
      <c r="O18" s="139" t="s">
        <v>85</v>
      </c>
    </row>
    <row r="19" spans="1:56" ht="18.75" thickBot="1" x14ac:dyDescent="0.3">
      <c r="A19" s="215">
        <v>46157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3"/>
      <c r="L19" s="143">
        <v>100000</v>
      </c>
      <c r="M19" s="140" t="s">
        <v>114</v>
      </c>
      <c r="N19" s="140" t="s">
        <v>96</v>
      </c>
      <c r="O19" s="139" t="s">
        <v>85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/>
      <c r="L20" s="143">
        <v>100000</v>
      </c>
      <c r="M20" s="140" t="s">
        <v>114</v>
      </c>
      <c r="N20" s="140" t="s">
        <v>96</v>
      </c>
      <c r="O20" s="139" t="s">
        <v>85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43">
        <v>100000</v>
      </c>
      <c r="M21" s="140" t="s">
        <v>114</v>
      </c>
      <c r="N21" s="140" t="s">
        <v>96</v>
      </c>
      <c r="O21" s="139" t="s">
        <v>85</v>
      </c>
    </row>
    <row r="22" spans="1:56" ht="18.75" thickBot="1" x14ac:dyDescent="0.3">
      <c r="A22" s="215">
        <f>A19+1</f>
        <v>46158</v>
      </c>
      <c r="B22" s="26" t="s">
        <v>50</v>
      </c>
      <c r="C22" s="216">
        <v>8</v>
      </c>
      <c r="D22" s="34"/>
      <c r="E22" s="50" t="s">
        <v>314</v>
      </c>
      <c r="F22" s="57">
        <v>0.03</v>
      </c>
      <c r="G22" s="58"/>
      <c r="H22" s="51"/>
      <c r="I22" s="54"/>
      <c r="J22" s="55" t="s">
        <v>95</v>
      </c>
      <c r="K22" s="56" t="s">
        <v>324</v>
      </c>
      <c r="L22" s="143">
        <v>100000</v>
      </c>
      <c r="M22" s="140" t="s">
        <v>114</v>
      </c>
      <c r="N22" s="140" t="s">
        <v>96</v>
      </c>
      <c r="O22" s="139" t="s">
        <v>85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43">
        <v>100000</v>
      </c>
      <c r="M23" s="140" t="s">
        <v>114</v>
      </c>
      <c r="N23" s="140" t="s">
        <v>96</v>
      </c>
      <c r="O23" s="139" t="s">
        <v>85</v>
      </c>
    </row>
    <row r="24" spans="1:56" ht="18.75" thickBot="1" x14ac:dyDescent="0.3">
      <c r="A24" s="215">
        <f>A22+1</f>
        <v>46159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43">
        <v>100000</v>
      </c>
      <c r="M24" s="140" t="s">
        <v>114</v>
      </c>
      <c r="N24" s="140" t="s">
        <v>96</v>
      </c>
      <c r="O24" s="139" t="s">
        <v>85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43">
        <v>100000</v>
      </c>
      <c r="M25" s="140" t="s">
        <v>114</v>
      </c>
      <c r="N25" s="140" t="s">
        <v>96</v>
      </c>
      <c r="O25" s="139" t="s">
        <v>85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46160</v>
      </c>
      <c r="B27" s="26" t="s">
        <v>50</v>
      </c>
      <c r="C27" s="222">
        <v>8</v>
      </c>
      <c r="D27" s="222">
        <v>7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43">
        <v>100000</v>
      </c>
      <c r="M27" s="140" t="s">
        <v>114</v>
      </c>
      <c r="N27" s="140" t="s">
        <v>96</v>
      </c>
      <c r="O27" s="139" t="s">
        <v>85</v>
      </c>
      <c r="P27" s="39">
        <v>83500</v>
      </c>
      <c r="Q27" s="40">
        <f>P27/L27</f>
        <v>0.83499999999999996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7</v>
      </c>
      <c r="AY27" s="43">
        <f t="shared" ref="AY27:AY34" si="0">IF(AW27&gt;0,STDEV(T27:AW27),"")</f>
        <v>0</v>
      </c>
      <c r="AZ27" s="42">
        <f>IF(AW27&gt;0,AY27/AX27*100,"")</f>
        <v>0</v>
      </c>
      <c r="BA27" s="44" t="s">
        <v>67</v>
      </c>
      <c r="BB27" s="45"/>
      <c r="BC27" s="46"/>
      <c r="BD27" s="47">
        <f t="shared" ref="BD27:BD34" si="1">IF(AW27&gt;0,100-AZ27,"")</f>
        <v>100</v>
      </c>
    </row>
    <row r="28" spans="1:56" ht="18.75" thickBot="1" x14ac:dyDescent="0.3">
      <c r="A28" s="38">
        <f>A27+1</f>
        <v>46161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43">
        <v>100000</v>
      </c>
      <c r="M28" s="140" t="s">
        <v>114</v>
      </c>
      <c r="N28" s="140" t="s">
        <v>96</v>
      </c>
      <c r="O28" s="139" t="s">
        <v>85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8</v>
      </c>
      <c r="AE28" s="41">
        <v>8</v>
      </c>
      <c r="AF28" s="41">
        <v>8</v>
      </c>
      <c r="AG28" s="41">
        <v>8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>IF(AW28&gt;0,AVERAGE(T28:AW28),"")</f>
        <v>7.666666666666667</v>
      </c>
      <c r="AY28" s="43">
        <f>IF(AW28&gt;0,STDEV(T28:AW28),"")</f>
        <v>0.47946330148538396</v>
      </c>
      <c r="AZ28" s="42">
        <f t="shared" ref="AZ28:AZ34" si="2">IF(AW28&gt;0,AY28/AX28*100,"")</f>
        <v>6.2538691498093559</v>
      </c>
      <c r="BA28" s="44" t="s">
        <v>68</v>
      </c>
      <c r="BB28" s="45"/>
      <c r="BC28" s="46"/>
      <c r="BD28" s="47">
        <f t="shared" si="1"/>
        <v>93.746130850190639</v>
      </c>
    </row>
    <row r="29" spans="1:56" ht="18.75" thickBot="1" x14ac:dyDescent="0.3">
      <c r="A29" s="38">
        <f t="shared" ref="A29:A34" si="3">A28+1</f>
        <v>46162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43">
        <v>100000</v>
      </c>
      <c r="M29" s="140" t="s">
        <v>114</v>
      </c>
      <c r="N29" s="140" t="s">
        <v>96</v>
      </c>
      <c r="O29" s="139" t="s">
        <v>85</v>
      </c>
      <c r="P29" s="40"/>
      <c r="Q29" s="40"/>
      <c r="R29" s="40"/>
      <c r="S29" s="40"/>
      <c r="T29" s="41">
        <v>7</v>
      </c>
      <c r="U29" s="41">
        <v>7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9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ref="AX29:AX34" si="4">IF(AW29&gt;0,AVERAGE(T29:AW29),"")</f>
        <v>8.1</v>
      </c>
      <c r="AY29" s="43">
        <f t="shared" si="0"/>
        <v>0.48066046515042254</v>
      </c>
      <c r="AZ29" s="42">
        <f t="shared" si="2"/>
        <v>5.9340798166718836</v>
      </c>
      <c r="BA29" s="44" t="s">
        <v>69</v>
      </c>
      <c r="BB29" s="45"/>
      <c r="BC29" s="46"/>
      <c r="BD29" s="47">
        <f t="shared" si="1"/>
        <v>94.065920183328117</v>
      </c>
    </row>
    <row r="30" spans="1:56" ht="18.75" thickBot="1" x14ac:dyDescent="0.3">
      <c r="A30" s="38">
        <f t="shared" si="3"/>
        <v>46163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43">
        <v>100000</v>
      </c>
      <c r="M30" s="140" t="s">
        <v>114</v>
      </c>
      <c r="N30" s="140" t="s">
        <v>96</v>
      </c>
      <c r="O30" s="139" t="s">
        <v>85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9</v>
      </c>
      <c r="Z30" s="41">
        <v>9</v>
      </c>
      <c r="AA30" s="41">
        <v>9</v>
      </c>
      <c r="AB30" s="41">
        <v>9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10</v>
      </c>
      <c r="AV30" s="41">
        <v>10</v>
      </c>
      <c r="AW30" s="41">
        <v>10</v>
      </c>
      <c r="AX30" s="42">
        <f t="shared" si="4"/>
        <v>8.9333333333333336</v>
      </c>
      <c r="AY30" s="43">
        <f t="shared" si="0"/>
        <v>0.52083045976218767</v>
      </c>
      <c r="AZ30" s="42">
        <f t="shared" si="2"/>
        <v>5.8301917137558323</v>
      </c>
      <c r="BA30" s="44" t="s">
        <v>70</v>
      </c>
      <c r="BB30" s="48"/>
      <c r="BC30" s="46"/>
      <c r="BD30" s="47">
        <f t="shared" si="1"/>
        <v>94.169808286244162</v>
      </c>
    </row>
    <row r="31" spans="1:56" ht="18.75" thickBot="1" x14ac:dyDescent="0.3">
      <c r="A31" s="38">
        <f t="shared" si="3"/>
        <v>46164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43">
        <v>100000</v>
      </c>
      <c r="M31" s="140" t="s">
        <v>114</v>
      </c>
      <c r="N31" s="140" t="s">
        <v>96</v>
      </c>
      <c r="O31" s="139" t="s">
        <v>85</v>
      </c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10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4"/>
        <v>9.2666666666666675</v>
      </c>
      <c r="AY31" s="43">
        <f t="shared" si="0"/>
        <v>0.44977644510880366</v>
      </c>
      <c r="AZ31" s="42">
        <f t="shared" si="2"/>
        <v>4.8537026450590322</v>
      </c>
      <c r="BA31" s="44" t="s">
        <v>71</v>
      </c>
      <c r="BB31" s="48"/>
      <c r="BC31" s="49"/>
      <c r="BD31" s="47">
        <f t="shared" si="1"/>
        <v>95.14629735494097</v>
      </c>
    </row>
    <row r="32" spans="1:56" ht="18.75" thickBot="1" x14ac:dyDescent="0.3">
      <c r="A32" s="38">
        <f t="shared" si="3"/>
        <v>46165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43">
        <v>100000</v>
      </c>
      <c r="M32" s="140" t="s">
        <v>114</v>
      </c>
      <c r="N32" s="140" t="s">
        <v>96</v>
      </c>
      <c r="O32" s="139" t="s">
        <v>85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10</v>
      </c>
      <c r="AE32" s="41">
        <v>10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11</v>
      </c>
      <c r="AV32" s="41">
        <v>11</v>
      </c>
      <c r="AW32" s="41">
        <v>11</v>
      </c>
      <c r="AX32" s="42">
        <f t="shared" si="4"/>
        <v>9.7666666666666675</v>
      </c>
      <c r="AY32" s="43">
        <f t="shared" si="0"/>
        <v>0.62606231557929259</v>
      </c>
      <c r="AZ32" s="42">
        <f t="shared" si="2"/>
        <v>6.4101943574671596</v>
      </c>
      <c r="BA32" s="44" t="s">
        <v>72</v>
      </c>
      <c r="BB32" s="48"/>
      <c r="BC32" s="49"/>
      <c r="BD32" s="47">
        <f t="shared" si="1"/>
        <v>93.589805642532838</v>
      </c>
    </row>
    <row r="33" spans="1:56" ht="18.75" thickBot="1" x14ac:dyDescent="0.3">
      <c r="A33" s="38">
        <f t="shared" si="3"/>
        <v>46166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43">
        <v>100000</v>
      </c>
      <c r="M33" s="140" t="s">
        <v>114</v>
      </c>
      <c r="N33" s="140" t="s">
        <v>96</v>
      </c>
      <c r="O33" s="139" t="s">
        <v>85</v>
      </c>
      <c r="P33" s="40"/>
      <c r="Q33" s="40"/>
      <c r="R33" s="39"/>
      <c r="S33" s="40"/>
      <c r="T33" s="41">
        <v>9</v>
      </c>
      <c r="U33" s="41">
        <v>9</v>
      </c>
      <c r="V33" s="41">
        <v>9</v>
      </c>
      <c r="W33" s="41">
        <v>9</v>
      </c>
      <c r="X33" s="41">
        <v>10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11</v>
      </c>
      <c r="AM33" s="41">
        <v>11</v>
      </c>
      <c r="AN33" s="41">
        <v>11</v>
      </c>
      <c r="AO33" s="41">
        <v>11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12</v>
      </c>
      <c r="AW33" s="41">
        <v>12</v>
      </c>
      <c r="AX33" s="42">
        <f t="shared" si="4"/>
        <v>10.333333333333334</v>
      </c>
      <c r="AY33" s="43">
        <f t="shared" si="0"/>
        <v>0.80229555708575362</v>
      </c>
      <c r="AZ33" s="42">
        <f t="shared" si="2"/>
        <v>7.7641505524427767</v>
      </c>
      <c r="BA33" s="44" t="s">
        <v>73</v>
      </c>
      <c r="BB33" s="48"/>
      <c r="BC33" s="49"/>
      <c r="BD33" s="47">
        <f t="shared" si="1"/>
        <v>92.235849447557229</v>
      </c>
    </row>
    <row r="34" spans="1:56" ht="18.75" thickBot="1" x14ac:dyDescent="0.3">
      <c r="A34" s="38">
        <f t="shared" si="3"/>
        <v>46167</v>
      </c>
      <c r="B34" s="26" t="s">
        <v>50</v>
      </c>
      <c r="E34" s="219"/>
      <c r="F34" s="220"/>
      <c r="G34" s="51"/>
      <c r="H34" s="51"/>
      <c r="I34" s="51"/>
      <c r="J34" s="55"/>
      <c r="K34" s="56"/>
      <c r="L34" s="143">
        <v>100000</v>
      </c>
      <c r="M34" s="140" t="s">
        <v>114</v>
      </c>
      <c r="N34" s="140" t="s">
        <v>96</v>
      </c>
      <c r="O34" s="139" t="s">
        <v>85</v>
      </c>
      <c r="P34" s="40"/>
      <c r="Q34" s="40"/>
      <c r="R34" s="39">
        <v>79550</v>
      </c>
      <c r="S34" s="40">
        <f>R34/L34</f>
        <v>0.79549999999999998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4"/>
        <v/>
      </c>
      <c r="AY34" s="43" t="str">
        <f t="shared" si="0"/>
        <v/>
      </c>
      <c r="AZ34" s="42" t="str">
        <f t="shared" si="2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</mergeCells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9FFB-34DE-4019-ACE8-DE72AEE9D781}">
  <dimension ref="A1:BD34"/>
  <sheetViews>
    <sheetView topLeftCell="J10" zoomScale="60" zoomScaleNormal="60" workbookViewId="0">
      <selection activeCell="Y33" sqref="Y33:AI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46149</v>
      </c>
      <c r="B3" s="26" t="s">
        <v>50</v>
      </c>
      <c r="C3" s="218">
        <v>9</v>
      </c>
      <c r="D3" s="217"/>
      <c r="E3" s="50"/>
      <c r="F3" s="51"/>
      <c r="G3" s="51"/>
      <c r="H3" s="51"/>
      <c r="I3" s="54"/>
      <c r="J3" s="52"/>
      <c r="K3" s="53"/>
      <c r="L3" s="143">
        <v>103000</v>
      </c>
      <c r="M3" s="140" t="s">
        <v>115</v>
      </c>
      <c r="N3" s="140" t="s">
        <v>91</v>
      </c>
      <c r="O3" s="139" t="s">
        <v>85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131</v>
      </c>
      <c r="J4" s="55" t="s">
        <v>84</v>
      </c>
      <c r="K4" s="56"/>
      <c r="L4" s="143">
        <v>103000</v>
      </c>
      <c r="M4" s="140" t="s">
        <v>115</v>
      </c>
      <c r="N4" s="140" t="s">
        <v>91</v>
      </c>
      <c r="O4" s="139" t="s">
        <v>85</v>
      </c>
    </row>
    <row r="5" spans="1:23" ht="18.75" thickBot="1" x14ac:dyDescent="0.3">
      <c r="A5" s="215">
        <v>46150</v>
      </c>
      <c r="B5" s="26" t="s">
        <v>50</v>
      </c>
      <c r="C5" s="218"/>
      <c r="D5" s="217"/>
      <c r="E5" s="50" t="s">
        <v>83</v>
      </c>
      <c r="F5" s="51">
        <v>0.06</v>
      </c>
      <c r="G5" s="51">
        <v>0.08</v>
      </c>
      <c r="H5" s="51"/>
      <c r="I5" s="54" t="s">
        <v>143</v>
      </c>
      <c r="J5" s="55" t="s">
        <v>84</v>
      </c>
      <c r="K5" s="56" t="s">
        <v>140</v>
      </c>
      <c r="L5" s="143">
        <v>103000</v>
      </c>
      <c r="M5" s="140" t="s">
        <v>115</v>
      </c>
      <c r="N5" s="140" t="s">
        <v>91</v>
      </c>
      <c r="O5" s="139" t="s">
        <v>85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>
        <v>0.03</v>
      </c>
      <c r="G6" s="51">
        <v>0.06</v>
      </c>
      <c r="H6" s="51"/>
      <c r="I6" s="54" t="s">
        <v>154</v>
      </c>
      <c r="J6" s="55" t="s">
        <v>84</v>
      </c>
      <c r="K6" s="56" t="s">
        <v>140</v>
      </c>
      <c r="L6" s="143">
        <v>103000</v>
      </c>
      <c r="M6" s="140" t="s">
        <v>115</v>
      </c>
      <c r="N6" s="140" t="s">
        <v>91</v>
      </c>
      <c r="O6" s="139" t="s">
        <v>85</v>
      </c>
    </row>
    <row r="7" spans="1:23" ht="18.75" thickBot="1" x14ac:dyDescent="0.3">
      <c r="A7" s="215">
        <v>46151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171</v>
      </c>
      <c r="J7" s="55" t="s">
        <v>84</v>
      </c>
      <c r="K7" s="56"/>
      <c r="L7" s="143">
        <v>103000</v>
      </c>
      <c r="M7" s="140" t="s">
        <v>115</v>
      </c>
      <c r="N7" s="140" t="s">
        <v>91</v>
      </c>
      <c r="O7" s="139" t="s">
        <v>85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182</v>
      </c>
      <c r="J8" s="55" t="s">
        <v>84</v>
      </c>
      <c r="K8" s="56"/>
      <c r="L8" s="143">
        <v>103000</v>
      </c>
      <c r="M8" s="140" t="s">
        <v>115</v>
      </c>
      <c r="N8" s="140" t="s">
        <v>91</v>
      </c>
      <c r="O8" s="139" t="s">
        <v>85</v>
      </c>
    </row>
    <row r="9" spans="1:23" ht="18.75" thickBot="1" x14ac:dyDescent="0.3">
      <c r="A9" s="215">
        <v>46152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203</v>
      </c>
      <c r="J9" s="55" t="s">
        <v>84</v>
      </c>
      <c r="K9" s="56"/>
      <c r="L9" s="143">
        <v>103000</v>
      </c>
      <c r="M9" s="140" t="s">
        <v>115</v>
      </c>
      <c r="N9" s="140" t="s">
        <v>91</v>
      </c>
      <c r="O9" s="139" t="s">
        <v>85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>
        <v>0.03</v>
      </c>
      <c r="G10" s="51">
        <v>0.03</v>
      </c>
      <c r="H10" s="51"/>
      <c r="I10" s="54" t="s">
        <v>183</v>
      </c>
      <c r="J10" s="55" t="s">
        <v>84</v>
      </c>
      <c r="K10" s="56" t="s">
        <v>233</v>
      </c>
      <c r="L10" s="143">
        <v>103000</v>
      </c>
      <c r="M10" s="140" t="s">
        <v>115</v>
      </c>
      <c r="N10" s="140" t="s">
        <v>91</v>
      </c>
      <c r="O10" s="139" t="s">
        <v>85</v>
      </c>
    </row>
    <row r="11" spans="1:23" ht="18.75" thickBot="1" x14ac:dyDescent="0.3">
      <c r="A11" s="215">
        <v>46153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169</v>
      </c>
      <c r="J11" s="55" t="s">
        <v>84</v>
      </c>
      <c r="K11" s="56"/>
      <c r="L11" s="143">
        <v>103000</v>
      </c>
      <c r="M11" s="140" t="s">
        <v>115</v>
      </c>
      <c r="N11" s="140" t="s">
        <v>91</v>
      </c>
      <c r="O11" s="139" t="s">
        <v>85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259</v>
      </c>
      <c r="J12" s="55" t="s">
        <v>84</v>
      </c>
      <c r="K12" s="56"/>
      <c r="L12" s="143">
        <v>103000</v>
      </c>
      <c r="M12" s="140" t="s">
        <v>115</v>
      </c>
      <c r="N12" s="140" t="s">
        <v>91</v>
      </c>
      <c r="O12" s="139" t="s">
        <v>85</v>
      </c>
      <c r="W12" t="s">
        <v>63</v>
      </c>
    </row>
    <row r="13" spans="1:23" ht="18.75" thickBot="1" x14ac:dyDescent="0.3">
      <c r="A13" s="215">
        <v>46154</v>
      </c>
      <c r="B13" s="26" t="s">
        <v>50</v>
      </c>
      <c r="C13" s="218"/>
      <c r="D13" s="217"/>
      <c r="E13" s="50" t="s">
        <v>269</v>
      </c>
      <c r="F13" s="57"/>
      <c r="G13" s="51"/>
      <c r="H13" s="51"/>
      <c r="I13" s="54"/>
      <c r="J13" s="55" t="s">
        <v>84</v>
      </c>
      <c r="K13" s="56"/>
      <c r="L13" s="143">
        <v>103000</v>
      </c>
      <c r="M13" s="140" t="s">
        <v>115</v>
      </c>
      <c r="N13" s="140" t="s">
        <v>91</v>
      </c>
      <c r="O13" s="139" t="s">
        <v>85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288</v>
      </c>
      <c r="F14" s="57">
        <v>0.03</v>
      </c>
      <c r="G14" s="51"/>
      <c r="H14" s="51"/>
      <c r="I14" s="54"/>
      <c r="J14" s="55" t="s">
        <v>84</v>
      </c>
      <c r="K14" s="56" t="s">
        <v>233</v>
      </c>
      <c r="L14" s="143">
        <v>103000</v>
      </c>
      <c r="M14" s="140" t="s">
        <v>115</v>
      </c>
      <c r="N14" s="140" t="s">
        <v>91</v>
      </c>
      <c r="O14" s="139" t="s">
        <v>85</v>
      </c>
    </row>
    <row r="15" spans="1:23" ht="18.75" thickBot="1" x14ac:dyDescent="0.3">
      <c r="A15" s="215">
        <v>46155</v>
      </c>
      <c r="B15" s="26" t="s">
        <v>50</v>
      </c>
      <c r="C15" s="218"/>
      <c r="D15" s="217"/>
      <c r="E15" s="50" t="s">
        <v>298</v>
      </c>
      <c r="F15" s="57"/>
      <c r="G15" s="58"/>
      <c r="H15" s="51"/>
      <c r="I15" s="54"/>
      <c r="J15" s="55" t="s">
        <v>84</v>
      </c>
      <c r="K15" s="56"/>
      <c r="L15" s="143">
        <v>103000</v>
      </c>
      <c r="M15" s="140" t="s">
        <v>115</v>
      </c>
      <c r="N15" s="140" t="s">
        <v>91</v>
      </c>
      <c r="O15" s="139" t="s">
        <v>85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308</v>
      </c>
      <c r="F16" s="57"/>
      <c r="G16" s="58"/>
      <c r="H16" s="51"/>
      <c r="I16" s="54"/>
      <c r="J16" s="55" t="s">
        <v>84</v>
      </c>
      <c r="K16" s="56"/>
      <c r="L16" s="143">
        <v>103000</v>
      </c>
      <c r="M16" s="140" t="s">
        <v>115</v>
      </c>
      <c r="N16" s="140" t="s">
        <v>91</v>
      </c>
      <c r="O16" s="139" t="s">
        <v>85</v>
      </c>
    </row>
    <row r="17" spans="1:56" ht="18.75" thickBot="1" x14ac:dyDescent="0.3">
      <c r="A17" s="215">
        <v>46156</v>
      </c>
      <c r="B17" s="26" t="s">
        <v>50</v>
      </c>
      <c r="C17" s="218"/>
      <c r="D17" s="217"/>
      <c r="E17" s="50" t="s">
        <v>314</v>
      </c>
      <c r="F17" s="57"/>
      <c r="G17" s="58"/>
      <c r="H17" s="51"/>
      <c r="I17" s="54"/>
      <c r="J17" s="55" t="s">
        <v>84</v>
      </c>
      <c r="K17" s="56"/>
      <c r="L17" s="143">
        <v>103000</v>
      </c>
      <c r="M17" s="140" t="s">
        <v>115</v>
      </c>
      <c r="N17" s="140" t="s">
        <v>91</v>
      </c>
      <c r="O17" s="139" t="s">
        <v>85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/>
      <c r="H18" s="51"/>
      <c r="I18" s="54"/>
      <c r="J18" s="55" t="s">
        <v>84</v>
      </c>
      <c r="K18" s="53"/>
      <c r="L18" s="143">
        <v>103000</v>
      </c>
      <c r="M18" s="140" t="s">
        <v>115</v>
      </c>
      <c r="N18" s="140" t="s">
        <v>91</v>
      </c>
      <c r="O18" s="139" t="s">
        <v>85</v>
      </c>
    </row>
    <row r="19" spans="1:56" ht="18.75" thickBot="1" x14ac:dyDescent="0.3">
      <c r="A19" s="215">
        <v>46157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3"/>
      <c r="L19" s="143">
        <v>103000</v>
      </c>
      <c r="M19" s="140" t="s">
        <v>115</v>
      </c>
      <c r="N19" s="140" t="s">
        <v>91</v>
      </c>
      <c r="O19" s="139" t="s">
        <v>85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/>
      <c r="L20" s="143">
        <v>103000</v>
      </c>
      <c r="M20" s="140" t="s">
        <v>115</v>
      </c>
      <c r="N20" s="140" t="s">
        <v>91</v>
      </c>
      <c r="O20" s="139" t="s">
        <v>85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43">
        <v>103000</v>
      </c>
      <c r="M21" s="140" t="s">
        <v>115</v>
      </c>
      <c r="N21" s="140" t="s">
        <v>91</v>
      </c>
      <c r="O21" s="139" t="s">
        <v>85</v>
      </c>
    </row>
    <row r="22" spans="1:56" ht="18.75" thickBot="1" x14ac:dyDescent="0.3">
      <c r="A22" s="215">
        <f>A19+1</f>
        <v>46158</v>
      </c>
      <c r="B22" s="26" t="s">
        <v>50</v>
      </c>
      <c r="C22" s="216">
        <v>9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6"/>
      <c r="L22" s="143">
        <v>103000</v>
      </c>
      <c r="M22" s="140" t="s">
        <v>115</v>
      </c>
      <c r="N22" s="140" t="s">
        <v>91</v>
      </c>
      <c r="O22" s="139" t="s">
        <v>85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43">
        <v>103000</v>
      </c>
      <c r="M23" s="140" t="s">
        <v>115</v>
      </c>
      <c r="N23" s="140" t="s">
        <v>91</v>
      </c>
      <c r="O23" s="139" t="s">
        <v>85</v>
      </c>
    </row>
    <row r="24" spans="1:56" ht="18.75" thickBot="1" x14ac:dyDescent="0.3">
      <c r="A24" s="215">
        <f>A22+1</f>
        <v>46159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43">
        <v>103000</v>
      </c>
      <c r="M24" s="140" t="s">
        <v>115</v>
      </c>
      <c r="N24" s="140" t="s">
        <v>91</v>
      </c>
      <c r="O24" s="139" t="s">
        <v>85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43">
        <v>103000</v>
      </c>
      <c r="M25" s="140" t="s">
        <v>115</v>
      </c>
      <c r="N25" s="140" t="s">
        <v>91</v>
      </c>
      <c r="O25" s="139" t="s">
        <v>85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46160</v>
      </c>
      <c r="B27" s="26" t="s">
        <v>50</v>
      </c>
      <c r="C27" s="222">
        <v>9</v>
      </c>
      <c r="D27" s="222">
        <v>8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43">
        <v>103000</v>
      </c>
      <c r="M27" s="140" t="s">
        <v>115</v>
      </c>
      <c r="N27" s="140" t="s">
        <v>91</v>
      </c>
      <c r="O27" s="139" t="s">
        <v>85</v>
      </c>
      <c r="P27" s="39">
        <v>79500</v>
      </c>
      <c r="Q27" s="40">
        <f>P27/L27</f>
        <v>0.77184466019417475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7</v>
      </c>
      <c r="AY27" s="43">
        <f t="shared" ref="AY27:AY34" si="0">IF(AW27&gt;0,STDEV(T27:AW27),"")</f>
        <v>0</v>
      </c>
      <c r="AZ27" s="42">
        <f>IF(AW27&gt;0,AY27/AX27*100,"")</f>
        <v>0</v>
      </c>
      <c r="BA27" s="44" t="s">
        <v>67</v>
      </c>
      <c r="BB27" s="45"/>
      <c r="BC27" s="46"/>
      <c r="BD27" s="47">
        <f t="shared" ref="BD27:BD34" si="1">IF(AW27&gt;0,100-AZ27,"")</f>
        <v>100</v>
      </c>
    </row>
    <row r="28" spans="1:56" ht="18.75" thickBot="1" x14ac:dyDescent="0.3">
      <c r="A28" s="38">
        <f>A27+1</f>
        <v>46161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43">
        <v>103000</v>
      </c>
      <c r="M28" s="140" t="s">
        <v>115</v>
      </c>
      <c r="N28" s="140" t="s">
        <v>91</v>
      </c>
      <c r="O28" s="139" t="s">
        <v>85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>IF(AW28&gt;0,AVERAGE(T28:AW28),"")</f>
        <v>7.5</v>
      </c>
      <c r="AY28" s="43">
        <f>IF(AW28&gt;0,STDEV(T28:AW28),"")</f>
        <v>0.5085476277156078</v>
      </c>
      <c r="AZ28" s="42">
        <f t="shared" ref="AZ28:AZ34" si="2">IF(AW28&gt;0,AY28/AX28*100,"")</f>
        <v>6.7806350362081034</v>
      </c>
      <c r="BA28" s="44" t="s">
        <v>68</v>
      </c>
      <c r="BB28" s="45"/>
      <c r="BC28" s="46"/>
      <c r="BD28" s="47">
        <f t="shared" si="1"/>
        <v>93.21936496379189</v>
      </c>
    </row>
    <row r="29" spans="1:56" ht="18.75" thickBot="1" x14ac:dyDescent="0.3">
      <c r="A29" s="38">
        <f t="shared" ref="A29:A34" si="3">A28+1</f>
        <v>46162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43">
        <v>103000</v>
      </c>
      <c r="M29" s="140" t="s">
        <v>115</v>
      </c>
      <c r="N29" s="140" t="s">
        <v>91</v>
      </c>
      <c r="O29" s="139" t="s">
        <v>85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ref="AX29:AX34" si="4">IF(AW29&gt;0,AVERAGE(T29:AW29),"")</f>
        <v>8.1333333333333329</v>
      </c>
      <c r="AY29" s="43">
        <f t="shared" si="0"/>
        <v>0.34574590364176039</v>
      </c>
      <c r="AZ29" s="42">
        <f t="shared" si="2"/>
        <v>4.2509742251036116</v>
      </c>
      <c r="BA29" s="44" t="s">
        <v>69</v>
      </c>
      <c r="BB29" s="45"/>
      <c r="BC29" s="46"/>
      <c r="BD29" s="47">
        <f t="shared" si="1"/>
        <v>95.749025774896381</v>
      </c>
    </row>
    <row r="30" spans="1:56" ht="18.75" thickBot="1" x14ac:dyDescent="0.3">
      <c r="A30" s="38">
        <f t="shared" si="3"/>
        <v>46163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43">
        <v>103000</v>
      </c>
      <c r="M30" s="140" t="s">
        <v>115</v>
      </c>
      <c r="N30" s="140" t="s">
        <v>91</v>
      </c>
      <c r="O30" s="139" t="s">
        <v>85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10</v>
      </c>
      <c r="AT30" s="41">
        <v>10</v>
      </c>
      <c r="AU30" s="41">
        <v>10</v>
      </c>
      <c r="AV30" s="41">
        <v>10</v>
      </c>
      <c r="AW30" s="41">
        <v>10</v>
      </c>
      <c r="AX30" s="42">
        <f t="shared" si="4"/>
        <v>8.8333333333333339</v>
      </c>
      <c r="AY30" s="43">
        <f t="shared" si="0"/>
        <v>0.69893186157624621</v>
      </c>
      <c r="AZ30" s="42">
        <f t="shared" si="2"/>
        <v>7.9124361687876927</v>
      </c>
      <c r="BA30" s="44" t="s">
        <v>70</v>
      </c>
      <c r="BB30" s="48"/>
      <c r="BC30" s="46"/>
      <c r="BD30" s="47">
        <f t="shared" si="1"/>
        <v>92.087563831212307</v>
      </c>
    </row>
    <row r="31" spans="1:56" ht="18.75" thickBot="1" x14ac:dyDescent="0.3">
      <c r="A31" s="38">
        <f t="shared" si="3"/>
        <v>46164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43">
        <v>103000</v>
      </c>
      <c r="M31" s="140" t="s">
        <v>115</v>
      </c>
      <c r="N31" s="140" t="s">
        <v>91</v>
      </c>
      <c r="O31" s="139" t="s">
        <v>85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8</v>
      </c>
      <c r="X31" s="41">
        <v>8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4"/>
        <v>9.0666666666666664</v>
      </c>
      <c r="AY31" s="43">
        <f t="shared" si="0"/>
        <v>0.63968382994949202</v>
      </c>
      <c r="AZ31" s="42">
        <f t="shared" si="2"/>
        <v>7.0553363597370442</v>
      </c>
      <c r="BA31" s="44" t="s">
        <v>71</v>
      </c>
      <c r="BB31" s="48"/>
      <c r="BC31" s="49"/>
      <c r="BD31" s="47">
        <f t="shared" si="1"/>
        <v>92.944663640262959</v>
      </c>
    </row>
    <row r="32" spans="1:56" ht="18.75" thickBot="1" x14ac:dyDescent="0.3">
      <c r="A32" s="38">
        <f t="shared" si="3"/>
        <v>46165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43">
        <v>103000</v>
      </c>
      <c r="M32" s="140" t="s">
        <v>115</v>
      </c>
      <c r="N32" s="140" t="s">
        <v>91</v>
      </c>
      <c r="O32" s="139" t="s">
        <v>85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4"/>
        <v>9.6</v>
      </c>
      <c r="AY32" s="43">
        <f t="shared" si="0"/>
        <v>0.49827287912243967</v>
      </c>
      <c r="AZ32" s="42">
        <f t="shared" si="2"/>
        <v>5.1903424908587468</v>
      </c>
      <c r="BA32" s="44" t="s">
        <v>72</v>
      </c>
      <c r="BB32" s="48"/>
      <c r="BC32" s="49"/>
      <c r="BD32" s="47">
        <f t="shared" si="1"/>
        <v>94.80965750914126</v>
      </c>
    </row>
    <row r="33" spans="1:56" ht="18.75" thickBot="1" x14ac:dyDescent="0.3">
      <c r="A33" s="38">
        <f t="shared" si="3"/>
        <v>46166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43">
        <v>103000</v>
      </c>
      <c r="M33" s="140" t="s">
        <v>115</v>
      </c>
      <c r="N33" s="140" t="s">
        <v>91</v>
      </c>
      <c r="O33" s="139" t="s">
        <v>85</v>
      </c>
      <c r="P33" s="40"/>
      <c r="Q33" s="40"/>
      <c r="R33" s="39"/>
      <c r="S33" s="40"/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11</v>
      </c>
      <c r="AK33" s="41">
        <v>11</v>
      </c>
      <c r="AL33" s="41">
        <v>11</v>
      </c>
      <c r="AM33" s="41">
        <v>11</v>
      </c>
      <c r="AN33" s="41">
        <v>11</v>
      </c>
      <c r="AO33" s="41">
        <v>11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12</v>
      </c>
      <c r="AX33" s="42">
        <f t="shared" si="4"/>
        <v>10.333333333333334</v>
      </c>
      <c r="AY33" s="43">
        <f t="shared" si="0"/>
        <v>0.80229555708575351</v>
      </c>
      <c r="AZ33" s="42">
        <f t="shared" si="2"/>
        <v>7.764150552442775</v>
      </c>
      <c r="BA33" s="44" t="s">
        <v>73</v>
      </c>
      <c r="BB33" s="48"/>
      <c r="BC33" s="49"/>
      <c r="BD33" s="47">
        <f t="shared" si="1"/>
        <v>92.235849447557229</v>
      </c>
    </row>
    <row r="34" spans="1:56" ht="18.75" thickBot="1" x14ac:dyDescent="0.3">
      <c r="A34" s="38">
        <f t="shared" si="3"/>
        <v>46167</v>
      </c>
      <c r="B34" s="26" t="s">
        <v>50</v>
      </c>
      <c r="E34" s="219"/>
      <c r="F34" s="220"/>
      <c r="G34" s="51"/>
      <c r="H34" s="51"/>
      <c r="I34" s="51"/>
      <c r="J34" s="55"/>
      <c r="K34" s="56"/>
      <c r="L34" s="143">
        <v>103000</v>
      </c>
      <c r="M34" s="140" t="s">
        <v>115</v>
      </c>
      <c r="N34" s="140" t="s">
        <v>91</v>
      </c>
      <c r="O34" s="139" t="s">
        <v>85</v>
      </c>
      <c r="P34" s="40"/>
      <c r="Q34" s="40"/>
      <c r="R34" s="39">
        <v>76550</v>
      </c>
      <c r="S34" s="40">
        <f>R34/L34</f>
        <v>0.74320388349514566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4"/>
        <v/>
      </c>
      <c r="AY34" s="43" t="str">
        <f t="shared" si="0"/>
        <v/>
      </c>
      <c r="AZ34" s="42" t="str">
        <f t="shared" si="2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</mergeCells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34"/>
  <sheetViews>
    <sheetView topLeftCell="J10" zoomScale="60" zoomScaleNormal="60" workbookViewId="0">
      <selection activeCell="X33" sqref="X33:AL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9.285156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46149</v>
      </c>
      <c r="B3" s="26" t="s">
        <v>50</v>
      </c>
      <c r="C3" s="218">
        <v>10</v>
      </c>
      <c r="D3" s="217"/>
      <c r="E3" s="50"/>
      <c r="F3" s="51"/>
      <c r="G3" s="51"/>
      <c r="H3" s="51"/>
      <c r="I3" s="54"/>
      <c r="J3" s="52"/>
      <c r="K3" s="53"/>
      <c r="L3" s="143">
        <v>100000</v>
      </c>
      <c r="M3" s="140" t="s">
        <v>116</v>
      </c>
      <c r="N3" s="140" t="s">
        <v>88</v>
      </c>
      <c r="O3" s="139" t="s">
        <v>86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132</v>
      </c>
      <c r="J4" s="55" t="s">
        <v>84</v>
      </c>
      <c r="K4" s="56"/>
      <c r="L4" s="143">
        <v>100000</v>
      </c>
      <c r="M4" s="140" t="s">
        <v>116</v>
      </c>
      <c r="N4" s="140" t="s">
        <v>88</v>
      </c>
      <c r="O4" s="139" t="s">
        <v>86</v>
      </c>
    </row>
    <row r="5" spans="1:23" ht="18.75" thickBot="1" x14ac:dyDescent="0.3">
      <c r="A5" s="215">
        <v>46150</v>
      </c>
      <c r="B5" s="26" t="s">
        <v>50</v>
      </c>
      <c r="C5" s="218"/>
      <c r="D5" s="217"/>
      <c r="E5" s="50" t="s">
        <v>83</v>
      </c>
      <c r="F5" s="51">
        <v>0.03</v>
      </c>
      <c r="G5" s="51">
        <v>0.03</v>
      </c>
      <c r="H5" s="51"/>
      <c r="I5" s="54" t="s">
        <v>144</v>
      </c>
      <c r="J5" s="55" t="s">
        <v>84</v>
      </c>
      <c r="K5" s="56" t="s">
        <v>140</v>
      </c>
      <c r="L5" s="143">
        <v>100000</v>
      </c>
      <c r="M5" s="140" t="s">
        <v>116</v>
      </c>
      <c r="N5" s="140" t="s">
        <v>88</v>
      </c>
      <c r="O5" s="139" t="s">
        <v>86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>
        <v>0.03</v>
      </c>
      <c r="H6" s="51"/>
      <c r="I6" s="54" t="s">
        <v>155</v>
      </c>
      <c r="J6" s="55" t="s">
        <v>84</v>
      </c>
      <c r="K6" s="56"/>
      <c r="L6" s="143">
        <v>100000</v>
      </c>
      <c r="M6" s="140" t="s">
        <v>116</v>
      </c>
      <c r="N6" s="140" t="s">
        <v>88</v>
      </c>
      <c r="O6" s="139" t="s">
        <v>86</v>
      </c>
    </row>
    <row r="7" spans="1:23" ht="18.75" thickBot="1" x14ac:dyDescent="0.3">
      <c r="A7" s="215">
        <v>46151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172</v>
      </c>
      <c r="J7" s="55" t="s">
        <v>84</v>
      </c>
      <c r="K7" s="56"/>
      <c r="L7" s="143">
        <v>100000</v>
      </c>
      <c r="M7" s="140" t="s">
        <v>116</v>
      </c>
      <c r="N7" s="140" t="s">
        <v>88</v>
      </c>
      <c r="O7" s="139" t="s">
        <v>86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186</v>
      </c>
      <c r="J8" s="55" t="s">
        <v>84</v>
      </c>
      <c r="K8" s="56"/>
      <c r="L8" s="143">
        <v>100000</v>
      </c>
      <c r="M8" s="140" t="s">
        <v>116</v>
      </c>
      <c r="N8" s="140" t="s">
        <v>88</v>
      </c>
      <c r="O8" s="139" t="s">
        <v>86</v>
      </c>
    </row>
    <row r="9" spans="1:23" ht="18.75" thickBot="1" x14ac:dyDescent="0.3">
      <c r="A9" s="215">
        <v>46152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204</v>
      </c>
      <c r="J9" s="55" t="s">
        <v>84</v>
      </c>
      <c r="K9" s="56"/>
      <c r="L9" s="143">
        <v>100000</v>
      </c>
      <c r="M9" s="140" t="s">
        <v>116</v>
      </c>
      <c r="N9" s="140" t="s">
        <v>88</v>
      </c>
      <c r="O9" s="139" t="s">
        <v>86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234</v>
      </c>
      <c r="J10" s="55" t="s">
        <v>84</v>
      </c>
      <c r="K10" s="56"/>
      <c r="L10" s="143">
        <v>100000</v>
      </c>
      <c r="M10" s="140" t="s">
        <v>116</v>
      </c>
      <c r="N10" s="140" t="s">
        <v>88</v>
      </c>
      <c r="O10" s="139" t="s">
        <v>86</v>
      </c>
    </row>
    <row r="11" spans="1:23" ht="18.75" thickBot="1" x14ac:dyDescent="0.3">
      <c r="A11" s="215">
        <v>46153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188</v>
      </c>
      <c r="J11" s="55" t="s">
        <v>84</v>
      </c>
      <c r="K11" s="56"/>
      <c r="L11" s="143">
        <v>100000</v>
      </c>
      <c r="M11" s="140" t="s">
        <v>116</v>
      </c>
      <c r="N11" s="140" t="s">
        <v>88</v>
      </c>
      <c r="O11" s="139" t="s">
        <v>86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197</v>
      </c>
      <c r="J12" s="55" t="s">
        <v>84</v>
      </c>
      <c r="K12" s="56"/>
      <c r="L12" s="143">
        <v>100000</v>
      </c>
      <c r="M12" s="140" t="s">
        <v>116</v>
      </c>
      <c r="N12" s="140" t="s">
        <v>88</v>
      </c>
      <c r="O12" s="139" t="s">
        <v>86</v>
      </c>
      <c r="W12" t="s">
        <v>63</v>
      </c>
    </row>
    <row r="13" spans="1:23" ht="18.75" thickBot="1" x14ac:dyDescent="0.3">
      <c r="A13" s="215">
        <v>46154</v>
      </c>
      <c r="B13" s="26" t="s">
        <v>50</v>
      </c>
      <c r="C13" s="218"/>
      <c r="D13" s="217"/>
      <c r="E13" s="50" t="s">
        <v>273</v>
      </c>
      <c r="F13" s="57"/>
      <c r="G13" s="51"/>
      <c r="H13" s="51"/>
      <c r="I13" s="54"/>
      <c r="J13" s="55" t="s">
        <v>84</v>
      </c>
      <c r="K13" s="56"/>
      <c r="L13" s="143">
        <v>100000</v>
      </c>
      <c r="M13" s="140" t="s">
        <v>116</v>
      </c>
      <c r="N13" s="140" t="s">
        <v>88</v>
      </c>
      <c r="O13" s="139" t="s">
        <v>86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289</v>
      </c>
      <c r="F14" s="57"/>
      <c r="G14" s="51"/>
      <c r="H14" s="51"/>
      <c r="I14" s="54"/>
      <c r="J14" s="55" t="s">
        <v>84</v>
      </c>
      <c r="K14" s="56"/>
      <c r="L14" s="143">
        <v>100000</v>
      </c>
      <c r="M14" s="140" t="s">
        <v>116</v>
      </c>
      <c r="N14" s="140" t="s">
        <v>88</v>
      </c>
      <c r="O14" s="139" t="s">
        <v>86</v>
      </c>
    </row>
    <row r="15" spans="1:23" ht="18.75" thickBot="1" x14ac:dyDescent="0.3">
      <c r="A15" s="215">
        <v>46155</v>
      </c>
      <c r="B15" s="26" t="s">
        <v>50</v>
      </c>
      <c r="C15" s="218"/>
      <c r="D15" s="217"/>
      <c r="E15" s="50" t="s">
        <v>298</v>
      </c>
      <c r="F15" s="57"/>
      <c r="G15" s="58"/>
      <c r="H15" s="51"/>
      <c r="I15" s="54"/>
      <c r="J15" s="55" t="s">
        <v>84</v>
      </c>
      <c r="K15" s="56"/>
      <c r="L15" s="143">
        <v>100000</v>
      </c>
      <c r="M15" s="140" t="s">
        <v>116</v>
      </c>
      <c r="N15" s="140" t="s">
        <v>88</v>
      </c>
      <c r="O15" s="139" t="s">
        <v>86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309</v>
      </c>
      <c r="F16" s="57"/>
      <c r="G16" s="58"/>
      <c r="H16" s="51"/>
      <c r="I16" s="54"/>
      <c r="J16" s="55" t="s">
        <v>84</v>
      </c>
      <c r="K16" s="56"/>
      <c r="L16" s="143">
        <v>100000</v>
      </c>
      <c r="M16" s="140" t="s">
        <v>116</v>
      </c>
      <c r="N16" s="140" t="s">
        <v>88</v>
      </c>
      <c r="O16" s="139" t="s">
        <v>86</v>
      </c>
    </row>
    <row r="17" spans="1:56" ht="18.75" thickBot="1" x14ac:dyDescent="0.3">
      <c r="A17" s="215">
        <v>46156</v>
      </c>
      <c r="B17" s="26" t="s">
        <v>50</v>
      </c>
      <c r="C17" s="218"/>
      <c r="D17" s="217"/>
      <c r="E17" s="50" t="s">
        <v>314</v>
      </c>
      <c r="F17" s="57"/>
      <c r="G17" s="58"/>
      <c r="H17" s="51"/>
      <c r="I17" s="54"/>
      <c r="J17" s="55" t="s">
        <v>84</v>
      </c>
      <c r="K17" s="56"/>
      <c r="L17" s="143">
        <v>100000</v>
      </c>
      <c r="M17" s="140" t="s">
        <v>116</v>
      </c>
      <c r="N17" s="140" t="s">
        <v>88</v>
      </c>
      <c r="O17" s="139" t="s">
        <v>86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/>
      <c r="H18" s="51"/>
      <c r="I18" s="54"/>
      <c r="J18" s="55" t="s">
        <v>84</v>
      </c>
      <c r="K18" s="53"/>
      <c r="L18" s="143">
        <v>100000</v>
      </c>
      <c r="M18" s="140" t="s">
        <v>116</v>
      </c>
      <c r="N18" s="140" t="s">
        <v>88</v>
      </c>
      <c r="O18" s="139" t="s">
        <v>86</v>
      </c>
    </row>
    <row r="19" spans="1:56" ht="18.75" thickBot="1" x14ac:dyDescent="0.3">
      <c r="A19" s="215">
        <v>46157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3" t="s">
        <v>315</v>
      </c>
      <c r="L19" s="143">
        <v>100000</v>
      </c>
      <c r="M19" s="140" t="s">
        <v>116</v>
      </c>
      <c r="N19" s="140" t="s">
        <v>88</v>
      </c>
      <c r="O19" s="139" t="s">
        <v>86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>
        <v>0.03</v>
      </c>
      <c r="G20" s="58"/>
      <c r="H20" s="51"/>
      <c r="I20" s="54"/>
      <c r="J20" s="55" t="s">
        <v>84</v>
      </c>
      <c r="K20" s="56" t="s">
        <v>233</v>
      </c>
      <c r="L20" s="143">
        <v>100000</v>
      </c>
      <c r="M20" s="140" t="s">
        <v>116</v>
      </c>
      <c r="N20" s="140" t="s">
        <v>88</v>
      </c>
      <c r="O20" s="139" t="s">
        <v>86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43">
        <v>100000</v>
      </c>
      <c r="M21" s="140" t="s">
        <v>116</v>
      </c>
      <c r="N21" s="140" t="s">
        <v>88</v>
      </c>
      <c r="O21" s="139" t="s">
        <v>86</v>
      </c>
    </row>
    <row r="22" spans="1:56" ht="18.75" thickBot="1" x14ac:dyDescent="0.3">
      <c r="A22" s="215">
        <f>A19+1</f>
        <v>46158</v>
      </c>
      <c r="B22" s="26" t="s">
        <v>50</v>
      </c>
      <c r="C22" s="216">
        <v>10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6"/>
      <c r="L22" s="143">
        <v>100000</v>
      </c>
      <c r="M22" s="140" t="s">
        <v>116</v>
      </c>
      <c r="N22" s="140" t="s">
        <v>88</v>
      </c>
      <c r="O22" s="139" t="s">
        <v>86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43">
        <v>100000</v>
      </c>
      <c r="M23" s="140" t="s">
        <v>116</v>
      </c>
      <c r="N23" s="140" t="s">
        <v>88</v>
      </c>
      <c r="O23" s="139" t="s">
        <v>86</v>
      </c>
    </row>
    <row r="24" spans="1:56" ht="18.75" thickBot="1" x14ac:dyDescent="0.3">
      <c r="A24" s="215">
        <f>A22+1</f>
        <v>46159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43">
        <v>100000</v>
      </c>
      <c r="M24" s="140" t="s">
        <v>116</v>
      </c>
      <c r="N24" s="140" t="s">
        <v>88</v>
      </c>
      <c r="O24" s="139" t="s">
        <v>86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43">
        <v>100000</v>
      </c>
      <c r="M25" s="140" t="s">
        <v>116</v>
      </c>
      <c r="N25" s="140" t="s">
        <v>88</v>
      </c>
      <c r="O25" s="139" t="s">
        <v>86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46160</v>
      </c>
      <c r="B27" s="26" t="s">
        <v>50</v>
      </c>
      <c r="C27" s="222">
        <v>10</v>
      </c>
      <c r="D27" s="222">
        <v>9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43">
        <v>100000</v>
      </c>
      <c r="M27" s="140" t="s">
        <v>116</v>
      </c>
      <c r="N27" s="140" t="s">
        <v>88</v>
      </c>
      <c r="O27" s="139" t="s">
        <v>86</v>
      </c>
      <c r="P27" s="39">
        <v>58500</v>
      </c>
      <c r="Q27" s="40">
        <f>P27/L27</f>
        <v>0.58499999999999996</v>
      </c>
      <c r="R27" s="40"/>
      <c r="S27" s="40"/>
      <c r="T27" s="41">
        <v>6</v>
      </c>
      <c r="U27" s="41">
        <v>6</v>
      </c>
      <c r="V27" s="41">
        <v>6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6.9</v>
      </c>
      <c r="AY27" s="43">
        <f t="shared" ref="AY27:AY34" si="0">IF(AW27&gt;0,STDEV(T27:AW27),"")</f>
        <v>0.30512857662936443</v>
      </c>
      <c r="AZ27" s="42">
        <f>IF(AW27&gt;0,AY27/AX27*100,"")</f>
        <v>4.4221532844835423</v>
      </c>
      <c r="BA27" s="44" t="s">
        <v>67</v>
      </c>
      <c r="BB27" s="45"/>
      <c r="BC27" s="46"/>
      <c r="BD27" s="47">
        <f t="shared" ref="BD27:BD34" si="1">IF(AW27&gt;0,100-AZ27,"")</f>
        <v>95.577846715516458</v>
      </c>
    </row>
    <row r="28" spans="1:56" ht="18.75" thickBot="1" x14ac:dyDescent="0.3">
      <c r="A28" s="38">
        <f>A27+1</f>
        <v>46161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43">
        <v>100000</v>
      </c>
      <c r="M28" s="140" t="s">
        <v>116</v>
      </c>
      <c r="N28" s="140" t="s">
        <v>88</v>
      </c>
      <c r="O28" s="139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7</v>
      </c>
      <c r="AK28" s="41">
        <v>7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>IF(AW28&gt;0,AVERAGE(T28:AW28),"")</f>
        <v>7.4</v>
      </c>
      <c r="AY28" s="43">
        <f>IF(AW28&gt;0,STDEV(T28:AW28),"")</f>
        <v>0.49827287912243973</v>
      </c>
      <c r="AZ28" s="42">
        <f t="shared" ref="AZ28:AZ34" si="2">IF(AW28&gt;0,AY28/AX28*100,"")</f>
        <v>6.7334172854383745</v>
      </c>
      <c r="BA28" s="44" t="s">
        <v>68</v>
      </c>
      <c r="BB28" s="45"/>
      <c r="BC28" s="46"/>
      <c r="BD28" s="47">
        <f t="shared" si="1"/>
        <v>93.266582714561622</v>
      </c>
    </row>
    <row r="29" spans="1:56" ht="18.75" thickBot="1" x14ac:dyDescent="0.3">
      <c r="A29" s="38">
        <f t="shared" ref="A29:A34" si="3">A28+1</f>
        <v>46162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43">
        <v>100000</v>
      </c>
      <c r="M29" s="140" t="s">
        <v>116</v>
      </c>
      <c r="N29" s="140" t="s">
        <v>88</v>
      </c>
      <c r="O29" s="139" t="s">
        <v>86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9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ref="AX29:AX34" si="4">IF(AW29&gt;0,AVERAGE(T29:AW29),"")</f>
        <v>8.1666666666666661</v>
      </c>
      <c r="AY29" s="43">
        <f t="shared" si="0"/>
        <v>0.37904902178945171</v>
      </c>
      <c r="AZ29" s="42">
        <f t="shared" si="2"/>
        <v>4.6414165933402254</v>
      </c>
      <c r="BA29" s="44" t="s">
        <v>69</v>
      </c>
      <c r="BB29" s="45"/>
      <c r="BC29" s="46"/>
      <c r="BD29" s="47">
        <f t="shared" si="1"/>
        <v>95.358583406659776</v>
      </c>
    </row>
    <row r="30" spans="1:56" ht="18.75" thickBot="1" x14ac:dyDescent="0.3">
      <c r="A30" s="38">
        <f t="shared" si="3"/>
        <v>46163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43">
        <v>100000</v>
      </c>
      <c r="M30" s="140" t="s">
        <v>116</v>
      </c>
      <c r="N30" s="140" t="s">
        <v>88</v>
      </c>
      <c r="O30" s="139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9</v>
      </c>
      <c r="Z30" s="41">
        <v>9</v>
      </c>
      <c r="AA30" s="41">
        <v>9</v>
      </c>
      <c r="AB30" s="41">
        <v>9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4"/>
        <v>8.8333333333333339</v>
      </c>
      <c r="AY30" s="43">
        <f t="shared" si="0"/>
        <v>0.37904902178945182</v>
      </c>
      <c r="AZ30" s="42">
        <f t="shared" si="2"/>
        <v>4.291121001390021</v>
      </c>
      <c r="BA30" s="44" t="s">
        <v>70</v>
      </c>
      <c r="BB30" s="48"/>
      <c r="BC30" s="46"/>
      <c r="BD30" s="47">
        <f t="shared" si="1"/>
        <v>95.708878998609975</v>
      </c>
    </row>
    <row r="31" spans="1:56" ht="18.75" thickBot="1" x14ac:dyDescent="0.3">
      <c r="A31" s="38">
        <f t="shared" si="3"/>
        <v>46164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43">
        <v>100000</v>
      </c>
      <c r="M31" s="140" t="s">
        <v>116</v>
      </c>
      <c r="N31" s="140" t="s">
        <v>88</v>
      </c>
      <c r="O31" s="139" t="s">
        <v>86</v>
      </c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10</v>
      </c>
      <c r="AO31" s="41">
        <v>10</v>
      </c>
      <c r="AP31" s="41">
        <v>10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4"/>
        <v>9.3333333333333339</v>
      </c>
      <c r="AY31" s="43">
        <f t="shared" si="0"/>
        <v>0.47946330148538424</v>
      </c>
      <c r="AZ31" s="42">
        <f t="shared" si="2"/>
        <v>5.137106801629117</v>
      </c>
      <c r="BA31" s="44" t="s">
        <v>71</v>
      </c>
      <c r="BB31" s="48"/>
      <c r="BC31" s="49"/>
      <c r="BD31" s="47">
        <f t="shared" si="1"/>
        <v>94.862893198370884</v>
      </c>
    </row>
    <row r="32" spans="1:56" ht="18.75" thickBot="1" x14ac:dyDescent="0.3">
      <c r="A32" s="38">
        <f t="shared" si="3"/>
        <v>46165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43">
        <v>100000</v>
      </c>
      <c r="M32" s="140" t="s">
        <v>116</v>
      </c>
      <c r="N32" s="140" t="s">
        <v>88</v>
      </c>
      <c r="O32" s="139" t="s">
        <v>86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10</v>
      </c>
      <c r="AE32" s="41">
        <v>10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4"/>
        <v>9.6666666666666661</v>
      </c>
      <c r="AY32" s="43">
        <f t="shared" si="0"/>
        <v>0.47946330148538424</v>
      </c>
      <c r="AZ32" s="42">
        <f t="shared" si="2"/>
        <v>4.9599651877798374</v>
      </c>
      <c r="BA32" s="44" t="s">
        <v>72</v>
      </c>
      <c r="BB32" s="48"/>
      <c r="BC32" s="49"/>
      <c r="BD32" s="47">
        <f t="shared" si="1"/>
        <v>95.040034812220156</v>
      </c>
    </row>
    <row r="33" spans="1:56" ht="18.75" thickBot="1" x14ac:dyDescent="0.3">
      <c r="A33" s="38">
        <f t="shared" si="3"/>
        <v>46166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43">
        <v>100000</v>
      </c>
      <c r="M33" s="140" t="s">
        <v>116</v>
      </c>
      <c r="N33" s="140" t="s">
        <v>88</v>
      </c>
      <c r="O33" s="139" t="s">
        <v>86</v>
      </c>
      <c r="P33" s="40"/>
      <c r="Q33" s="40"/>
      <c r="R33" s="39"/>
      <c r="S33" s="40"/>
      <c r="T33" s="41">
        <v>9</v>
      </c>
      <c r="U33" s="41">
        <v>9</v>
      </c>
      <c r="V33" s="41">
        <v>9</v>
      </c>
      <c r="W33" s="41">
        <v>9</v>
      </c>
      <c r="X33" s="41">
        <v>10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11</v>
      </c>
      <c r="AN33" s="41">
        <v>11</v>
      </c>
      <c r="AO33" s="41">
        <v>11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12</v>
      </c>
      <c r="AV33" s="41">
        <v>12</v>
      </c>
      <c r="AW33" s="41">
        <v>12</v>
      </c>
      <c r="AX33" s="42">
        <f t="shared" si="4"/>
        <v>10.333333333333334</v>
      </c>
      <c r="AY33" s="43">
        <f t="shared" si="0"/>
        <v>0.84418225411395564</v>
      </c>
      <c r="AZ33" s="42">
        <f t="shared" si="2"/>
        <v>8.1695056849737639</v>
      </c>
      <c r="BA33" s="44" t="s">
        <v>73</v>
      </c>
      <c r="BB33" s="48"/>
      <c r="BC33" s="49"/>
      <c r="BD33" s="47">
        <f t="shared" si="1"/>
        <v>91.830494315026243</v>
      </c>
    </row>
    <row r="34" spans="1:56" ht="18.75" thickBot="1" x14ac:dyDescent="0.3">
      <c r="A34" s="38">
        <f t="shared" si="3"/>
        <v>46167</v>
      </c>
      <c r="B34" s="26" t="s">
        <v>50</v>
      </c>
      <c r="E34" s="219"/>
      <c r="F34" s="220"/>
      <c r="G34" s="51"/>
      <c r="H34" s="51"/>
      <c r="I34" s="51"/>
      <c r="J34" s="55"/>
      <c r="K34" s="56"/>
      <c r="L34" s="143">
        <v>100000</v>
      </c>
      <c r="M34" s="140" t="s">
        <v>116</v>
      </c>
      <c r="N34" s="140" t="s">
        <v>88</v>
      </c>
      <c r="O34" s="139" t="s">
        <v>86</v>
      </c>
      <c r="P34" s="40"/>
      <c r="Q34" s="40"/>
      <c r="R34" s="39">
        <v>64150</v>
      </c>
      <c r="S34" s="40">
        <f>R34/L34</f>
        <v>0.64149999999999996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4"/>
        <v/>
      </c>
      <c r="AY34" s="43" t="str">
        <f t="shared" si="0"/>
        <v/>
      </c>
      <c r="AZ34" s="42" t="str">
        <f t="shared" si="2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E34:F34"/>
    <mergeCell ref="AX25:AX26"/>
    <mergeCell ref="AY25:AY26"/>
    <mergeCell ref="AZ25:AZ26"/>
    <mergeCell ref="BA25:BA26"/>
    <mergeCell ref="T25:AW25"/>
    <mergeCell ref="BB25:BB26"/>
    <mergeCell ref="D2:D20"/>
    <mergeCell ref="A3:A4"/>
    <mergeCell ref="C3:C20"/>
    <mergeCell ref="A5:A6"/>
    <mergeCell ref="A7:A8"/>
    <mergeCell ref="A19:A20"/>
    <mergeCell ref="A9:A10"/>
    <mergeCell ref="A11:A12"/>
    <mergeCell ref="A13:A14"/>
    <mergeCell ref="A15:A16"/>
    <mergeCell ref="A17:A18"/>
    <mergeCell ref="A22:A23"/>
    <mergeCell ref="C22:C25"/>
    <mergeCell ref="A24:A25"/>
    <mergeCell ref="E26:F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</mergeCells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D34"/>
  <sheetViews>
    <sheetView topLeftCell="J10" zoomScale="60" zoomScaleNormal="60" workbookViewId="0">
      <selection activeCell="AS18" sqref="AS18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46149</v>
      </c>
      <c r="B3" s="26" t="s">
        <v>50</v>
      </c>
      <c r="C3" s="218">
        <v>11</v>
      </c>
      <c r="D3" s="217"/>
      <c r="E3" s="50"/>
      <c r="F3" s="51"/>
      <c r="G3" s="51"/>
      <c r="H3" s="51"/>
      <c r="I3" s="54"/>
      <c r="J3" s="52"/>
      <c r="K3" s="53"/>
      <c r="L3" s="143">
        <v>108000</v>
      </c>
      <c r="M3" s="140" t="s">
        <v>117</v>
      </c>
      <c r="N3" s="140" t="s">
        <v>118</v>
      </c>
      <c r="O3" s="139" t="s">
        <v>86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94</v>
      </c>
      <c r="F4" s="51">
        <v>0.06</v>
      </c>
      <c r="G4" s="51">
        <v>0.03</v>
      </c>
      <c r="H4" s="51"/>
      <c r="I4" s="54" t="s">
        <v>133</v>
      </c>
      <c r="J4" s="55" t="s">
        <v>103</v>
      </c>
      <c r="K4" s="56" t="s">
        <v>93</v>
      </c>
      <c r="L4" s="143">
        <v>108000</v>
      </c>
      <c r="M4" s="140" t="s">
        <v>117</v>
      </c>
      <c r="N4" s="140" t="s">
        <v>118</v>
      </c>
      <c r="O4" s="139" t="s">
        <v>86</v>
      </c>
    </row>
    <row r="5" spans="1:23" ht="18.75" thickBot="1" x14ac:dyDescent="0.3">
      <c r="A5" s="215">
        <v>46150</v>
      </c>
      <c r="B5" s="26" t="s">
        <v>50</v>
      </c>
      <c r="C5" s="218"/>
      <c r="D5" s="217"/>
      <c r="E5" s="50" t="s">
        <v>83</v>
      </c>
      <c r="F5" s="51"/>
      <c r="G5" s="51"/>
      <c r="H5" s="51"/>
      <c r="I5" s="54" t="s">
        <v>145</v>
      </c>
      <c r="J5" s="55" t="s">
        <v>84</v>
      </c>
      <c r="K5" s="56"/>
      <c r="L5" s="143">
        <v>108000</v>
      </c>
      <c r="M5" s="140" t="s">
        <v>117</v>
      </c>
      <c r="N5" s="140" t="s">
        <v>118</v>
      </c>
      <c r="O5" s="139" t="s">
        <v>86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156</v>
      </c>
      <c r="J6" s="55" t="s">
        <v>84</v>
      </c>
      <c r="K6" s="56"/>
      <c r="L6" s="143">
        <v>108000</v>
      </c>
      <c r="M6" s="140" t="s">
        <v>117</v>
      </c>
      <c r="N6" s="140" t="s">
        <v>118</v>
      </c>
      <c r="O6" s="139" t="s">
        <v>86</v>
      </c>
    </row>
    <row r="7" spans="1:23" ht="18.75" thickBot="1" x14ac:dyDescent="0.3">
      <c r="A7" s="215">
        <v>46151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135</v>
      </c>
      <c r="J7" s="55" t="s">
        <v>84</v>
      </c>
      <c r="K7" s="56"/>
      <c r="L7" s="143">
        <v>108000</v>
      </c>
      <c r="M7" s="140" t="s">
        <v>117</v>
      </c>
      <c r="N7" s="140" t="s">
        <v>118</v>
      </c>
      <c r="O7" s="139" t="s">
        <v>86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187</v>
      </c>
      <c r="J8" s="55" t="s">
        <v>84</v>
      </c>
      <c r="K8" s="56"/>
      <c r="L8" s="143">
        <v>108000</v>
      </c>
      <c r="M8" s="140" t="s">
        <v>117</v>
      </c>
      <c r="N8" s="140" t="s">
        <v>118</v>
      </c>
      <c r="O8" s="139" t="s">
        <v>86</v>
      </c>
    </row>
    <row r="9" spans="1:23" ht="18.75" thickBot="1" x14ac:dyDescent="0.3">
      <c r="A9" s="215">
        <v>46152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205</v>
      </c>
      <c r="J9" s="55" t="s">
        <v>84</v>
      </c>
      <c r="K9" s="56"/>
      <c r="L9" s="143">
        <v>108000</v>
      </c>
      <c r="M9" s="140" t="s">
        <v>117</v>
      </c>
      <c r="N9" s="140" t="s">
        <v>118</v>
      </c>
      <c r="O9" s="139" t="s">
        <v>86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101</v>
      </c>
      <c r="J10" s="55" t="s">
        <v>84</v>
      </c>
      <c r="K10" s="56"/>
      <c r="L10" s="143">
        <v>108000</v>
      </c>
      <c r="M10" s="140" t="s">
        <v>117</v>
      </c>
      <c r="N10" s="140" t="s">
        <v>118</v>
      </c>
      <c r="O10" s="139" t="s">
        <v>86</v>
      </c>
    </row>
    <row r="11" spans="1:23" ht="18.75" thickBot="1" x14ac:dyDescent="0.3">
      <c r="A11" s="215">
        <v>46153</v>
      </c>
      <c r="B11" s="26" t="s">
        <v>50</v>
      </c>
      <c r="C11" s="218"/>
      <c r="D11" s="217"/>
      <c r="E11" s="50" t="s">
        <v>244</v>
      </c>
      <c r="F11" s="57"/>
      <c r="G11" s="51">
        <v>0.06</v>
      </c>
      <c r="H11" s="51"/>
      <c r="I11" s="54" t="s">
        <v>198</v>
      </c>
      <c r="J11" s="55" t="s">
        <v>84</v>
      </c>
      <c r="K11" s="56"/>
      <c r="L11" s="143">
        <v>108000</v>
      </c>
      <c r="M11" s="140" t="s">
        <v>117</v>
      </c>
      <c r="N11" s="140" t="s">
        <v>118</v>
      </c>
      <c r="O11" s="139" t="s">
        <v>86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177</v>
      </c>
      <c r="J12" s="55" t="s">
        <v>84</v>
      </c>
      <c r="K12" s="56"/>
      <c r="L12" s="143">
        <v>108000</v>
      </c>
      <c r="M12" s="140" t="s">
        <v>117</v>
      </c>
      <c r="N12" s="140" t="s">
        <v>118</v>
      </c>
      <c r="O12" s="139" t="s">
        <v>86</v>
      </c>
      <c r="W12" t="s">
        <v>63</v>
      </c>
    </row>
    <row r="13" spans="1:23" ht="18.75" thickBot="1" x14ac:dyDescent="0.3">
      <c r="A13" s="215">
        <v>46154</v>
      </c>
      <c r="B13" s="26" t="s">
        <v>50</v>
      </c>
      <c r="C13" s="218"/>
      <c r="D13" s="217"/>
      <c r="E13" s="50" t="s">
        <v>274</v>
      </c>
      <c r="F13" s="57"/>
      <c r="G13" s="51"/>
      <c r="H13" s="51"/>
      <c r="I13" s="54"/>
      <c r="J13" s="55" t="s">
        <v>84</v>
      </c>
      <c r="K13" s="56"/>
      <c r="L13" s="143">
        <v>108000</v>
      </c>
      <c r="M13" s="140" t="s">
        <v>117</v>
      </c>
      <c r="N13" s="140" t="s">
        <v>118</v>
      </c>
      <c r="O13" s="139" t="s">
        <v>86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270</v>
      </c>
      <c r="F14" s="57"/>
      <c r="G14" s="51"/>
      <c r="H14" s="51"/>
      <c r="I14" s="54"/>
      <c r="J14" s="55" t="s">
        <v>84</v>
      </c>
      <c r="K14" s="56"/>
      <c r="L14" s="143">
        <v>108000</v>
      </c>
      <c r="M14" s="140" t="s">
        <v>117</v>
      </c>
      <c r="N14" s="140" t="s">
        <v>118</v>
      </c>
      <c r="O14" s="139" t="s">
        <v>86</v>
      </c>
    </row>
    <row r="15" spans="1:23" ht="18.75" thickBot="1" x14ac:dyDescent="0.3">
      <c r="A15" s="215">
        <v>46155</v>
      </c>
      <c r="B15" s="26" t="s">
        <v>50</v>
      </c>
      <c r="C15" s="218"/>
      <c r="D15" s="217"/>
      <c r="E15" s="50" t="s">
        <v>301</v>
      </c>
      <c r="F15" s="57"/>
      <c r="G15" s="58"/>
      <c r="H15" s="51"/>
      <c r="I15" s="54"/>
      <c r="J15" s="55" t="s">
        <v>84</v>
      </c>
      <c r="K15" s="56"/>
      <c r="L15" s="143">
        <v>108000</v>
      </c>
      <c r="M15" s="140" t="s">
        <v>117</v>
      </c>
      <c r="N15" s="140" t="s">
        <v>118</v>
      </c>
      <c r="O15" s="139" t="s">
        <v>86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310</v>
      </c>
      <c r="F16" s="57"/>
      <c r="G16" s="58"/>
      <c r="H16" s="51"/>
      <c r="I16" s="54"/>
      <c r="J16" s="55" t="s">
        <v>84</v>
      </c>
      <c r="K16" s="56"/>
      <c r="L16" s="143">
        <v>108000</v>
      </c>
      <c r="M16" s="140" t="s">
        <v>117</v>
      </c>
      <c r="N16" s="140" t="s">
        <v>118</v>
      </c>
      <c r="O16" s="139" t="s">
        <v>86</v>
      </c>
    </row>
    <row r="17" spans="1:56" ht="18.75" thickBot="1" x14ac:dyDescent="0.3">
      <c r="A17" s="215">
        <v>46156</v>
      </c>
      <c r="B17" s="26" t="s">
        <v>50</v>
      </c>
      <c r="C17" s="218"/>
      <c r="D17" s="217"/>
      <c r="E17" s="50" t="s">
        <v>314</v>
      </c>
      <c r="F17" s="57"/>
      <c r="G17" s="58"/>
      <c r="H17" s="51"/>
      <c r="I17" s="54"/>
      <c r="J17" s="55" t="s">
        <v>84</v>
      </c>
      <c r="K17" s="56"/>
      <c r="L17" s="143">
        <v>108000</v>
      </c>
      <c r="M17" s="140" t="s">
        <v>117</v>
      </c>
      <c r="N17" s="140" t="s">
        <v>118</v>
      </c>
      <c r="O17" s="139" t="s">
        <v>86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/>
      <c r="H18" s="51"/>
      <c r="I18" s="54"/>
      <c r="J18" s="55" t="s">
        <v>84</v>
      </c>
      <c r="K18" s="53"/>
      <c r="L18" s="143">
        <v>108000</v>
      </c>
      <c r="M18" s="140" t="s">
        <v>117</v>
      </c>
      <c r="N18" s="140" t="s">
        <v>118</v>
      </c>
      <c r="O18" s="139" t="s">
        <v>86</v>
      </c>
    </row>
    <row r="19" spans="1:56" ht="18.75" thickBot="1" x14ac:dyDescent="0.3">
      <c r="A19" s="215">
        <v>46157</v>
      </c>
      <c r="B19" s="26" t="s">
        <v>50</v>
      </c>
      <c r="C19" s="218"/>
      <c r="D19" s="217"/>
      <c r="E19" s="50" t="s">
        <v>314</v>
      </c>
      <c r="F19" s="57"/>
      <c r="G19" s="58">
        <v>0.03</v>
      </c>
      <c r="H19" s="51"/>
      <c r="I19" s="54"/>
      <c r="J19" s="55" t="s">
        <v>84</v>
      </c>
      <c r="K19" s="53"/>
      <c r="L19" s="143">
        <v>108000</v>
      </c>
      <c r="M19" s="140" t="s">
        <v>117</v>
      </c>
      <c r="N19" s="140" t="s">
        <v>118</v>
      </c>
      <c r="O19" s="139" t="s">
        <v>86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/>
      <c r="L20" s="143">
        <v>108000</v>
      </c>
      <c r="M20" s="140" t="s">
        <v>117</v>
      </c>
      <c r="N20" s="140" t="s">
        <v>118</v>
      </c>
      <c r="O20" s="139" t="s">
        <v>86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43">
        <v>108000</v>
      </c>
      <c r="M21" s="140" t="s">
        <v>117</v>
      </c>
      <c r="N21" s="140" t="s">
        <v>118</v>
      </c>
      <c r="O21" s="139" t="s">
        <v>86</v>
      </c>
    </row>
    <row r="22" spans="1:56" ht="18.75" thickBot="1" x14ac:dyDescent="0.3">
      <c r="A22" s="215">
        <f>A19+1</f>
        <v>46158</v>
      </c>
      <c r="B22" s="26" t="s">
        <v>50</v>
      </c>
      <c r="C22" s="216">
        <v>11</v>
      </c>
      <c r="D22" s="34"/>
      <c r="E22" s="50" t="s">
        <v>314</v>
      </c>
      <c r="F22" s="57"/>
      <c r="G22" s="58">
        <v>0.03</v>
      </c>
      <c r="H22" s="51"/>
      <c r="I22" s="54"/>
      <c r="J22" s="55" t="s">
        <v>84</v>
      </c>
      <c r="K22" s="56"/>
      <c r="L22" s="143">
        <v>108000</v>
      </c>
      <c r="M22" s="140" t="s">
        <v>117</v>
      </c>
      <c r="N22" s="140" t="s">
        <v>118</v>
      </c>
      <c r="O22" s="139" t="s">
        <v>86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43">
        <v>108000</v>
      </c>
      <c r="M23" s="140" t="s">
        <v>117</v>
      </c>
      <c r="N23" s="140" t="s">
        <v>118</v>
      </c>
      <c r="O23" s="139" t="s">
        <v>86</v>
      </c>
    </row>
    <row r="24" spans="1:56" ht="18.75" thickBot="1" x14ac:dyDescent="0.3">
      <c r="A24" s="215">
        <f>A22+1</f>
        <v>46159</v>
      </c>
      <c r="B24" s="26" t="s">
        <v>50</v>
      </c>
      <c r="C24" s="216"/>
      <c r="D24" s="34"/>
      <c r="E24" s="50" t="s">
        <v>314</v>
      </c>
      <c r="F24" s="57"/>
      <c r="G24" s="58">
        <v>0.03</v>
      </c>
      <c r="H24" s="51"/>
      <c r="I24" s="54"/>
      <c r="J24" s="55" t="s">
        <v>84</v>
      </c>
      <c r="K24" s="56"/>
      <c r="L24" s="143">
        <v>108000</v>
      </c>
      <c r="M24" s="140" t="s">
        <v>117</v>
      </c>
      <c r="N24" s="140" t="s">
        <v>118</v>
      </c>
      <c r="O24" s="139" t="s">
        <v>86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43">
        <v>108000</v>
      </c>
      <c r="M25" s="140" t="s">
        <v>117</v>
      </c>
      <c r="N25" s="140" t="s">
        <v>118</v>
      </c>
      <c r="O25" s="139" t="s">
        <v>86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46160</v>
      </c>
      <c r="B27" s="26" t="s">
        <v>50</v>
      </c>
      <c r="C27" s="222">
        <v>11</v>
      </c>
      <c r="D27" s="222">
        <v>10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43">
        <v>108000</v>
      </c>
      <c r="M27" s="140" t="s">
        <v>117</v>
      </c>
      <c r="N27" s="140" t="s">
        <v>118</v>
      </c>
      <c r="O27" s="139" t="s">
        <v>86</v>
      </c>
      <c r="P27" s="39">
        <v>87000</v>
      </c>
      <c r="Q27" s="40">
        <f>P27/L27</f>
        <v>0.80555555555555558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8</v>
      </c>
      <c r="AU27" s="41">
        <v>8</v>
      </c>
      <c r="AV27" s="41">
        <v>8</v>
      </c>
      <c r="AW27" s="41">
        <v>8</v>
      </c>
      <c r="AX27" s="42">
        <f>IF(AW27&gt;0,AVERAGE(T27:AW27),"")</f>
        <v>7.1333333333333337</v>
      </c>
      <c r="AY27" s="43">
        <f t="shared" ref="AY27:AY34" si="0">IF(AW27&gt;0,STDEV(T27:AW27),"")</f>
        <v>0.34574590364176039</v>
      </c>
      <c r="AZ27" s="42">
        <f>IF(AW27&gt;0,AY27/AX27*100,"")</f>
        <v>4.8469051912396308</v>
      </c>
      <c r="BA27" s="44" t="s">
        <v>67</v>
      </c>
      <c r="BB27" s="45"/>
      <c r="BC27" s="46"/>
      <c r="BD27" s="47">
        <f t="shared" ref="BD27:BD34" si="1">IF(AW27&gt;0,100-AZ27,"")</f>
        <v>95.153094808760372</v>
      </c>
    </row>
    <row r="28" spans="1:56" ht="18.75" thickBot="1" x14ac:dyDescent="0.3">
      <c r="A28" s="38">
        <f>A27+1</f>
        <v>46161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43">
        <v>108000</v>
      </c>
      <c r="M28" s="140" t="s">
        <v>117</v>
      </c>
      <c r="N28" s="140" t="s">
        <v>118</v>
      </c>
      <c r="O28" s="139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8</v>
      </c>
      <c r="AE28" s="41">
        <v>8</v>
      </c>
      <c r="AF28" s="41">
        <v>8</v>
      </c>
      <c r="AG28" s="41">
        <v>8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>IF(AW28&gt;0,AVERAGE(T28:AW28),"")</f>
        <v>7.666666666666667</v>
      </c>
      <c r="AY28" s="43">
        <f>IF(AW28&gt;0,STDEV(T28:AW28),"")</f>
        <v>0.47946330148538396</v>
      </c>
      <c r="AZ28" s="42">
        <f t="shared" ref="AZ28:AZ34" si="2">IF(AW28&gt;0,AY28/AX28*100,"")</f>
        <v>6.2538691498093559</v>
      </c>
      <c r="BA28" s="44" t="s">
        <v>68</v>
      </c>
      <c r="BB28" s="45"/>
      <c r="BC28" s="46"/>
      <c r="BD28" s="47">
        <f t="shared" si="1"/>
        <v>93.746130850190639</v>
      </c>
    </row>
    <row r="29" spans="1:56" ht="18.75" thickBot="1" x14ac:dyDescent="0.3">
      <c r="A29" s="38">
        <f t="shared" ref="A29:A34" si="3">A28+1</f>
        <v>46162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43">
        <v>108000</v>
      </c>
      <c r="M29" s="140" t="s">
        <v>117</v>
      </c>
      <c r="N29" s="140" t="s">
        <v>118</v>
      </c>
      <c r="O29" s="139" t="s">
        <v>86</v>
      </c>
      <c r="P29" s="40"/>
      <c r="Q29" s="40"/>
      <c r="R29" s="40"/>
      <c r="S29" s="40"/>
      <c r="T29" s="41">
        <v>7</v>
      </c>
      <c r="U29" s="41">
        <v>7</v>
      </c>
      <c r="V29" s="41">
        <v>7</v>
      </c>
      <c r="W29" s="41">
        <v>7</v>
      </c>
      <c r="X29" s="41">
        <v>7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8</v>
      </c>
      <c r="AV29" s="41">
        <v>8</v>
      </c>
      <c r="AW29" s="41">
        <v>8</v>
      </c>
      <c r="AX29" s="42">
        <f t="shared" ref="AX29:AX34" si="4">IF(AW29&gt;0,AVERAGE(T29:AW29),"")</f>
        <v>7.833333333333333</v>
      </c>
      <c r="AY29" s="43">
        <f t="shared" si="0"/>
        <v>0.37904902178945149</v>
      </c>
      <c r="AZ29" s="42">
        <f t="shared" si="2"/>
        <v>4.83892368241853</v>
      </c>
      <c r="BA29" s="44" t="s">
        <v>69</v>
      </c>
      <c r="BB29" s="45"/>
      <c r="BC29" s="46"/>
      <c r="BD29" s="47">
        <f t="shared" si="1"/>
        <v>95.161076317581475</v>
      </c>
    </row>
    <row r="30" spans="1:56" ht="18.75" thickBot="1" x14ac:dyDescent="0.3">
      <c r="A30" s="38">
        <f t="shared" si="3"/>
        <v>46163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43">
        <v>108000</v>
      </c>
      <c r="M30" s="140" t="s">
        <v>117</v>
      </c>
      <c r="N30" s="140" t="s">
        <v>118</v>
      </c>
      <c r="O30" s="139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9</v>
      </c>
      <c r="AB30" s="41">
        <v>9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4"/>
        <v>8.7666666666666675</v>
      </c>
      <c r="AY30" s="43">
        <f t="shared" si="0"/>
        <v>0.43018306715207638</v>
      </c>
      <c r="AZ30" s="42">
        <f t="shared" si="2"/>
        <v>4.9070311842442171</v>
      </c>
      <c r="BA30" s="44" t="s">
        <v>70</v>
      </c>
      <c r="BB30" s="48"/>
      <c r="BC30" s="46"/>
      <c r="BD30" s="47">
        <f t="shared" si="1"/>
        <v>95.092968815755782</v>
      </c>
    </row>
    <row r="31" spans="1:56" ht="18.75" thickBot="1" x14ac:dyDescent="0.3">
      <c r="A31" s="38">
        <f t="shared" si="3"/>
        <v>46164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43">
        <v>108000</v>
      </c>
      <c r="M31" s="140" t="s">
        <v>117</v>
      </c>
      <c r="N31" s="140" t="s">
        <v>118</v>
      </c>
      <c r="O31" s="139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10</v>
      </c>
      <c r="AO31" s="41">
        <v>10</v>
      </c>
      <c r="AP31" s="41">
        <v>10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4"/>
        <v>9.2333333333333325</v>
      </c>
      <c r="AY31" s="43">
        <f t="shared" si="0"/>
        <v>0.62606231557929259</v>
      </c>
      <c r="AZ31" s="42">
        <f t="shared" si="2"/>
        <v>6.7804582914724838</v>
      </c>
      <c r="BA31" s="44" t="s">
        <v>71</v>
      </c>
      <c r="BB31" s="48"/>
      <c r="BC31" s="49"/>
      <c r="BD31" s="47">
        <f t="shared" si="1"/>
        <v>93.219541708527515</v>
      </c>
    </row>
    <row r="32" spans="1:56" ht="18.75" thickBot="1" x14ac:dyDescent="0.3">
      <c r="A32" s="38">
        <f t="shared" si="3"/>
        <v>46165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43">
        <v>108000</v>
      </c>
      <c r="M32" s="140" t="s">
        <v>117</v>
      </c>
      <c r="N32" s="140" t="s">
        <v>118</v>
      </c>
      <c r="O32" s="139" t="s">
        <v>86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10</v>
      </c>
      <c r="AE32" s="41">
        <v>10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11</v>
      </c>
      <c r="AS32" s="41">
        <v>11</v>
      </c>
      <c r="AT32" s="41">
        <v>11</v>
      </c>
      <c r="AU32" s="41">
        <v>11</v>
      </c>
      <c r="AV32" s="41">
        <v>11</v>
      </c>
      <c r="AW32" s="41">
        <v>11</v>
      </c>
      <c r="AX32" s="42">
        <f t="shared" si="4"/>
        <v>9.8666666666666671</v>
      </c>
      <c r="AY32" s="43">
        <f t="shared" si="0"/>
        <v>0.73029674334022154</v>
      </c>
      <c r="AZ32" s="42">
        <f t="shared" si="2"/>
        <v>7.4016561825022444</v>
      </c>
      <c r="BA32" s="44" t="s">
        <v>72</v>
      </c>
      <c r="BB32" s="48"/>
      <c r="BC32" s="49"/>
      <c r="BD32" s="47">
        <f t="shared" si="1"/>
        <v>92.598343817497749</v>
      </c>
    </row>
    <row r="33" spans="1:56" ht="18.75" thickBot="1" x14ac:dyDescent="0.3">
      <c r="A33" s="38">
        <f t="shared" si="3"/>
        <v>46166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43">
        <v>108000</v>
      </c>
      <c r="M33" s="140" t="s">
        <v>117</v>
      </c>
      <c r="N33" s="140" t="s">
        <v>118</v>
      </c>
      <c r="O33" s="139" t="s">
        <v>86</v>
      </c>
      <c r="P33" s="40"/>
      <c r="Q33" s="40"/>
      <c r="R33" s="39"/>
      <c r="S33" s="40"/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11</v>
      </c>
      <c r="AJ33" s="41">
        <v>11</v>
      </c>
      <c r="AK33" s="41">
        <v>11</v>
      </c>
      <c r="AL33" s="41">
        <v>11</v>
      </c>
      <c r="AM33" s="41">
        <v>11</v>
      </c>
      <c r="AN33" s="41">
        <v>11</v>
      </c>
      <c r="AO33" s="41">
        <v>11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12</v>
      </c>
      <c r="AV33" s="41">
        <v>12</v>
      </c>
      <c r="AW33" s="41">
        <v>12</v>
      </c>
      <c r="AX33" s="42">
        <f t="shared" si="4"/>
        <v>10.366666666666667</v>
      </c>
      <c r="AY33" s="43">
        <f t="shared" si="0"/>
        <v>0.96430547933280142</v>
      </c>
      <c r="AZ33" s="42">
        <f t="shared" si="2"/>
        <v>9.301982115750496</v>
      </c>
      <c r="BA33" s="44" t="s">
        <v>73</v>
      </c>
      <c r="BB33" s="48"/>
      <c r="BC33" s="49"/>
      <c r="BD33" s="47">
        <f t="shared" si="1"/>
        <v>90.698017884249509</v>
      </c>
    </row>
    <row r="34" spans="1:56" ht="18.75" thickBot="1" x14ac:dyDescent="0.3">
      <c r="A34" s="38">
        <f t="shared" si="3"/>
        <v>46167</v>
      </c>
      <c r="B34" s="26" t="s">
        <v>50</v>
      </c>
      <c r="E34" s="219"/>
      <c r="F34" s="220"/>
      <c r="G34" s="51"/>
      <c r="H34" s="51"/>
      <c r="I34" s="51"/>
      <c r="J34" s="55"/>
      <c r="K34" s="56"/>
      <c r="L34" s="143">
        <v>108000</v>
      </c>
      <c r="M34" s="140" t="s">
        <v>117</v>
      </c>
      <c r="N34" s="140" t="s">
        <v>118</v>
      </c>
      <c r="O34" s="139" t="s">
        <v>86</v>
      </c>
      <c r="P34" s="40"/>
      <c r="Q34" s="40"/>
      <c r="R34" s="39">
        <v>81150</v>
      </c>
      <c r="S34" s="40">
        <f>R34/L34</f>
        <v>0.75138888888888888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4"/>
        <v/>
      </c>
      <c r="AY34" s="43" t="str">
        <f t="shared" si="0"/>
        <v/>
      </c>
      <c r="AZ34" s="42" t="str">
        <f t="shared" si="2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E34:F34"/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</mergeCells>
  <pageMargins left="0.7" right="0.7" top="0.75" bottom="0.75" header="0.3" footer="0.3"/>
  <pageSetup paperSize="9" orientation="landscape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D34"/>
  <sheetViews>
    <sheetView topLeftCell="J13" zoomScale="60" zoomScaleNormal="60" workbookViewId="0">
      <selection activeCell="Y33" sqref="Y33:AK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46149</v>
      </c>
      <c r="B3" s="26" t="s">
        <v>50</v>
      </c>
      <c r="C3" s="218">
        <v>12</v>
      </c>
      <c r="D3" s="217"/>
      <c r="E3" s="50"/>
      <c r="F3" s="51"/>
      <c r="G3" s="51"/>
      <c r="H3" s="51"/>
      <c r="I3" s="54"/>
      <c r="J3" s="52"/>
      <c r="K3" s="53"/>
      <c r="L3" s="143">
        <v>102500</v>
      </c>
      <c r="M3" s="140" t="s">
        <v>119</v>
      </c>
      <c r="N3" s="140" t="s">
        <v>97</v>
      </c>
      <c r="O3" s="139" t="s">
        <v>86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134</v>
      </c>
      <c r="J4" s="55" t="s">
        <v>84</v>
      </c>
      <c r="K4" s="56"/>
      <c r="L4" s="143">
        <v>102500</v>
      </c>
      <c r="M4" s="140" t="s">
        <v>119</v>
      </c>
      <c r="N4" s="140" t="s">
        <v>97</v>
      </c>
      <c r="O4" s="139" t="s">
        <v>86</v>
      </c>
    </row>
    <row r="5" spans="1:23" ht="18.75" thickBot="1" x14ac:dyDescent="0.3">
      <c r="A5" s="215">
        <v>46150</v>
      </c>
      <c r="B5" s="26" t="s">
        <v>50</v>
      </c>
      <c r="C5" s="218"/>
      <c r="D5" s="217"/>
      <c r="E5" s="50" t="s">
        <v>83</v>
      </c>
      <c r="F5" s="51">
        <v>0.06</v>
      </c>
      <c r="G5" s="51">
        <v>0.08</v>
      </c>
      <c r="H5" s="51"/>
      <c r="I5" s="54" t="s">
        <v>146</v>
      </c>
      <c r="J5" s="55" t="s">
        <v>84</v>
      </c>
      <c r="K5" s="56" t="s">
        <v>140</v>
      </c>
      <c r="L5" s="143">
        <v>102500</v>
      </c>
      <c r="M5" s="140" t="s">
        <v>119</v>
      </c>
      <c r="N5" s="140" t="s">
        <v>97</v>
      </c>
      <c r="O5" s="139" t="s">
        <v>86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157</v>
      </c>
      <c r="J6" s="55" t="s">
        <v>84</v>
      </c>
      <c r="K6" s="56"/>
      <c r="L6" s="143">
        <v>102500</v>
      </c>
      <c r="M6" s="140" t="s">
        <v>119</v>
      </c>
      <c r="N6" s="140" t="s">
        <v>97</v>
      </c>
      <c r="O6" s="139" t="s">
        <v>86</v>
      </c>
    </row>
    <row r="7" spans="1:23" ht="18.75" thickBot="1" x14ac:dyDescent="0.3">
      <c r="A7" s="215">
        <v>46151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173</v>
      </c>
      <c r="J7" s="55" t="s">
        <v>84</v>
      </c>
      <c r="K7" s="56"/>
      <c r="L7" s="143">
        <v>102500</v>
      </c>
      <c r="M7" s="140" t="s">
        <v>119</v>
      </c>
      <c r="N7" s="140" t="s">
        <v>97</v>
      </c>
      <c r="O7" s="139" t="s">
        <v>86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153</v>
      </c>
      <c r="J8" s="55" t="s">
        <v>84</v>
      </c>
      <c r="K8" s="56"/>
      <c r="L8" s="143">
        <v>102500</v>
      </c>
      <c r="M8" s="140" t="s">
        <v>119</v>
      </c>
      <c r="N8" s="140" t="s">
        <v>97</v>
      </c>
      <c r="O8" s="139" t="s">
        <v>86</v>
      </c>
    </row>
    <row r="9" spans="1:23" ht="18.75" thickBot="1" x14ac:dyDescent="0.3">
      <c r="A9" s="215">
        <v>46152</v>
      </c>
      <c r="B9" s="26" t="s">
        <v>50</v>
      </c>
      <c r="C9" s="218"/>
      <c r="D9" s="217"/>
      <c r="E9" s="50" t="s">
        <v>195</v>
      </c>
      <c r="F9" s="57"/>
      <c r="G9" s="51">
        <v>0.03</v>
      </c>
      <c r="H9" s="51"/>
      <c r="I9" s="54" t="s">
        <v>206</v>
      </c>
      <c r="J9" s="55" t="s">
        <v>84</v>
      </c>
      <c r="K9" s="56"/>
      <c r="L9" s="143">
        <v>102500</v>
      </c>
      <c r="M9" s="140" t="s">
        <v>119</v>
      </c>
      <c r="N9" s="140" t="s">
        <v>97</v>
      </c>
      <c r="O9" s="139" t="s">
        <v>86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135</v>
      </c>
      <c r="J10" s="55" t="s">
        <v>84</v>
      </c>
      <c r="K10" s="56"/>
      <c r="L10" s="143">
        <v>102500</v>
      </c>
      <c r="M10" s="140" t="s">
        <v>119</v>
      </c>
      <c r="N10" s="140" t="s">
        <v>97</v>
      </c>
      <c r="O10" s="139" t="s">
        <v>86</v>
      </c>
    </row>
    <row r="11" spans="1:23" ht="18.75" thickBot="1" x14ac:dyDescent="0.3">
      <c r="A11" s="215">
        <v>46153</v>
      </c>
      <c r="B11" s="26" t="s">
        <v>50</v>
      </c>
      <c r="C11" s="218"/>
      <c r="D11" s="217"/>
      <c r="E11" s="50" t="s">
        <v>244</v>
      </c>
      <c r="F11" s="57">
        <v>0.03</v>
      </c>
      <c r="G11" s="51"/>
      <c r="H11" s="51"/>
      <c r="I11" s="54" t="s">
        <v>141</v>
      </c>
      <c r="J11" s="55" t="s">
        <v>84</v>
      </c>
      <c r="K11" s="56" t="s">
        <v>140</v>
      </c>
      <c r="L11" s="143">
        <v>102500</v>
      </c>
      <c r="M11" s="140" t="s">
        <v>119</v>
      </c>
      <c r="N11" s="140" t="s">
        <v>97</v>
      </c>
      <c r="O11" s="139" t="s">
        <v>86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201</v>
      </c>
      <c r="J12" s="55" t="s">
        <v>84</v>
      </c>
      <c r="K12" s="56"/>
      <c r="L12" s="143">
        <v>102500</v>
      </c>
      <c r="M12" s="140" t="s">
        <v>119</v>
      </c>
      <c r="N12" s="140" t="s">
        <v>97</v>
      </c>
      <c r="O12" s="139" t="s">
        <v>86</v>
      </c>
      <c r="W12" t="s">
        <v>63</v>
      </c>
    </row>
    <row r="13" spans="1:23" ht="18.75" thickBot="1" x14ac:dyDescent="0.3">
      <c r="A13" s="215">
        <v>46154</v>
      </c>
      <c r="B13" s="26" t="s">
        <v>50</v>
      </c>
      <c r="C13" s="218"/>
      <c r="D13" s="217"/>
      <c r="E13" s="50" t="s">
        <v>275</v>
      </c>
      <c r="F13" s="57"/>
      <c r="G13" s="51"/>
      <c r="H13" s="51"/>
      <c r="I13" s="54"/>
      <c r="J13" s="55" t="s">
        <v>84</v>
      </c>
      <c r="K13" s="56"/>
      <c r="L13" s="143">
        <v>102500</v>
      </c>
      <c r="M13" s="140" t="s">
        <v>119</v>
      </c>
      <c r="N13" s="140" t="s">
        <v>97</v>
      </c>
      <c r="O13" s="139" t="s">
        <v>86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287</v>
      </c>
      <c r="F14" s="57"/>
      <c r="G14" s="51"/>
      <c r="H14" s="51"/>
      <c r="I14" s="54"/>
      <c r="J14" s="55" t="s">
        <v>84</v>
      </c>
      <c r="K14" s="56"/>
      <c r="L14" s="143">
        <v>102500</v>
      </c>
      <c r="M14" s="140" t="s">
        <v>119</v>
      </c>
      <c r="N14" s="140" t="s">
        <v>97</v>
      </c>
      <c r="O14" s="139" t="s">
        <v>86</v>
      </c>
    </row>
    <row r="15" spans="1:23" ht="18.75" thickBot="1" x14ac:dyDescent="0.3">
      <c r="A15" s="215">
        <v>46155</v>
      </c>
      <c r="B15" s="26" t="s">
        <v>50</v>
      </c>
      <c r="C15" s="218"/>
      <c r="D15" s="217"/>
      <c r="E15" s="50" t="s">
        <v>298</v>
      </c>
      <c r="F15" s="57"/>
      <c r="G15" s="58"/>
      <c r="H15" s="51"/>
      <c r="I15" s="54"/>
      <c r="J15" s="55" t="s">
        <v>84</v>
      </c>
      <c r="K15" s="56"/>
      <c r="L15" s="143">
        <v>102500</v>
      </c>
      <c r="M15" s="140" t="s">
        <v>119</v>
      </c>
      <c r="N15" s="140" t="s">
        <v>97</v>
      </c>
      <c r="O15" s="139" t="s">
        <v>86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309</v>
      </c>
      <c r="F16" s="57"/>
      <c r="G16" s="58"/>
      <c r="H16" s="51"/>
      <c r="I16" s="54"/>
      <c r="J16" s="55" t="s">
        <v>84</v>
      </c>
      <c r="K16" s="56"/>
      <c r="L16" s="143">
        <v>102500</v>
      </c>
      <c r="M16" s="140" t="s">
        <v>119</v>
      </c>
      <c r="N16" s="140" t="s">
        <v>97</v>
      </c>
      <c r="O16" s="139" t="s">
        <v>86</v>
      </c>
    </row>
    <row r="17" spans="1:56" ht="18.75" thickBot="1" x14ac:dyDescent="0.3">
      <c r="A17" s="215">
        <v>46156</v>
      </c>
      <c r="B17" s="26" t="s">
        <v>50</v>
      </c>
      <c r="C17" s="218"/>
      <c r="D17" s="217"/>
      <c r="E17" s="50" t="s">
        <v>314</v>
      </c>
      <c r="F17" s="57"/>
      <c r="G17" s="58"/>
      <c r="H17" s="51"/>
      <c r="I17" s="54"/>
      <c r="J17" s="55" t="s">
        <v>84</v>
      </c>
      <c r="K17" s="56"/>
      <c r="L17" s="143">
        <v>102500</v>
      </c>
      <c r="M17" s="140" t="s">
        <v>119</v>
      </c>
      <c r="N17" s="140" t="s">
        <v>97</v>
      </c>
      <c r="O17" s="139" t="s">
        <v>86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/>
      <c r="H18" s="51"/>
      <c r="I18" s="54"/>
      <c r="J18" s="55" t="s">
        <v>84</v>
      </c>
      <c r="K18" s="53"/>
      <c r="L18" s="143">
        <v>102500</v>
      </c>
      <c r="M18" s="140" t="s">
        <v>119</v>
      </c>
      <c r="N18" s="140" t="s">
        <v>97</v>
      </c>
      <c r="O18" s="139" t="s">
        <v>86</v>
      </c>
    </row>
    <row r="19" spans="1:56" ht="18.75" thickBot="1" x14ac:dyDescent="0.3">
      <c r="A19" s="215">
        <v>46157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3" t="s">
        <v>315</v>
      </c>
      <c r="L19" s="143">
        <v>102500</v>
      </c>
      <c r="M19" s="140" t="s">
        <v>119</v>
      </c>
      <c r="N19" s="140" t="s">
        <v>97</v>
      </c>
      <c r="O19" s="139" t="s">
        <v>86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3" t="s">
        <v>315</v>
      </c>
      <c r="L20" s="143">
        <v>102500</v>
      </c>
      <c r="M20" s="140" t="s">
        <v>119</v>
      </c>
      <c r="N20" s="140" t="s">
        <v>97</v>
      </c>
      <c r="O20" s="139" t="s">
        <v>86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43">
        <v>102500</v>
      </c>
      <c r="M21" s="140" t="s">
        <v>119</v>
      </c>
      <c r="N21" s="140" t="s">
        <v>97</v>
      </c>
      <c r="O21" s="139" t="s">
        <v>86</v>
      </c>
    </row>
    <row r="22" spans="1:56" ht="18.75" thickBot="1" x14ac:dyDescent="0.3">
      <c r="A22" s="215">
        <f>A19+1</f>
        <v>46158</v>
      </c>
      <c r="B22" s="26" t="s">
        <v>50</v>
      </c>
      <c r="C22" s="216">
        <v>12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3" t="s">
        <v>315</v>
      </c>
      <c r="L22" s="143">
        <v>102500</v>
      </c>
      <c r="M22" s="140" t="s">
        <v>119</v>
      </c>
      <c r="N22" s="140" t="s">
        <v>97</v>
      </c>
      <c r="O22" s="139" t="s">
        <v>86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3" t="s">
        <v>315</v>
      </c>
      <c r="L23" s="143">
        <v>102500</v>
      </c>
      <c r="M23" s="140" t="s">
        <v>119</v>
      </c>
      <c r="N23" s="140" t="s">
        <v>97</v>
      </c>
      <c r="O23" s="139" t="s">
        <v>86</v>
      </c>
    </row>
    <row r="24" spans="1:56" ht="18.75" thickBot="1" x14ac:dyDescent="0.3">
      <c r="A24" s="215">
        <f>A22+1</f>
        <v>46159</v>
      </c>
      <c r="B24" s="26" t="s">
        <v>50</v>
      </c>
      <c r="C24" s="216"/>
      <c r="D24" s="34"/>
      <c r="E24" s="50" t="s">
        <v>314</v>
      </c>
      <c r="F24" s="57"/>
      <c r="G24" s="58">
        <v>0.06</v>
      </c>
      <c r="H24" s="51"/>
      <c r="I24" s="54"/>
      <c r="J24" s="55" t="s">
        <v>84</v>
      </c>
      <c r="K24" s="56"/>
      <c r="L24" s="143">
        <v>102500</v>
      </c>
      <c r="M24" s="140" t="s">
        <v>119</v>
      </c>
      <c r="N24" s="140" t="s">
        <v>97</v>
      </c>
      <c r="O24" s="139" t="s">
        <v>86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43">
        <v>102500</v>
      </c>
      <c r="M25" s="140" t="s">
        <v>119</v>
      </c>
      <c r="N25" s="140" t="s">
        <v>97</v>
      </c>
      <c r="O25" s="139" t="s">
        <v>86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46160</v>
      </c>
      <c r="B27" s="26" t="s">
        <v>50</v>
      </c>
      <c r="C27" s="222">
        <v>12</v>
      </c>
      <c r="D27" s="222">
        <v>11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43">
        <v>102500</v>
      </c>
      <c r="M27" s="140" t="s">
        <v>119</v>
      </c>
      <c r="N27" s="140" t="s">
        <v>97</v>
      </c>
      <c r="O27" s="139" t="s">
        <v>86</v>
      </c>
      <c r="P27" s="39">
        <v>83000</v>
      </c>
      <c r="Q27" s="40">
        <f>P27/L27</f>
        <v>0.80975609756097566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7</v>
      </c>
      <c r="AY27" s="43">
        <f t="shared" ref="AY27:AY34" si="0">IF(AW27&gt;0,STDEV(T27:AW27),"")</f>
        <v>0</v>
      </c>
      <c r="AZ27" s="42">
        <f>IF(AW27&gt;0,AY27/AX27*100,"")</f>
        <v>0</v>
      </c>
      <c r="BA27" s="44" t="s">
        <v>67</v>
      </c>
      <c r="BB27" s="45"/>
      <c r="BC27" s="46"/>
      <c r="BD27" s="47">
        <f t="shared" ref="BD27:BD34" si="1">IF(AW27&gt;0,100-AZ27,"")</f>
        <v>100</v>
      </c>
    </row>
    <row r="28" spans="1:56" ht="18.75" thickBot="1" x14ac:dyDescent="0.3">
      <c r="A28" s="38">
        <f>A27+1</f>
        <v>46161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43">
        <v>102500</v>
      </c>
      <c r="M28" s="140" t="s">
        <v>119</v>
      </c>
      <c r="N28" s="140" t="s">
        <v>97</v>
      </c>
      <c r="O28" s="139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8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>IF(AW28&gt;0,AVERAGE(T28:AW28),"")</f>
        <v>7.5666666666666664</v>
      </c>
      <c r="AY28" s="43">
        <f>IF(AW28&gt;0,STDEV(T28:AW28),"")</f>
        <v>0.50400693299373078</v>
      </c>
      <c r="AZ28" s="42">
        <f t="shared" ref="AZ28:AZ34" si="2">IF(AW28&gt;0,AY28/AX28*100,"")</f>
        <v>6.6608845770096581</v>
      </c>
      <c r="BA28" s="44" t="s">
        <v>68</v>
      </c>
      <c r="BB28" s="45"/>
      <c r="BC28" s="46"/>
      <c r="BD28" s="47">
        <f t="shared" si="1"/>
        <v>93.339115422990346</v>
      </c>
    </row>
    <row r="29" spans="1:56" ht="18.75" thickBot="1" x14ac:dyDescent="0.3">
      <c r="A29" s="38">
        <f t="shared" ref="A29:A34" si="3">A28+1</f>
        <v>46162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43">
        <v>102500</v>
      </c>
      <c r="M29" s="140" t="s">
        <v>119</v>
      </c>
      <c r="N29" s="140" t="s">
        <v>97</v>
      </c>
      <c r="O29" s="139" t="s">
        <v>86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8</v>
      </c>
      <c r="AV29" s="41">
        <v>9</v>
      </c>
      <c r="AW29" s="41">
        <v>9</v>
      </c>
      <c r="AX29" s="42">
        <f t="shared" ref="AX29:AX34" si="4">IF(AW29&gt;0,AVERAGE(T29:AW29),"")</f>
        <v>8.0666666666666664</v>
      </c>
      <c r="AY29" s="43">
        <f t="shared" si="0"/>
        <v>0.25370813170246242</v>
      </c>
      <c r="AZ29" s="42">
        <f t="shared" si="2"/>
        <v>3.1451421285429229</v>
      </c>
      <c r="BA29" s="44" t="s">
        <v>69</v>
      </c>
      <c r="BB29" s="45"/>
      <c r="BC29" s="46"/>
      <c r="BD29" s="47">
        <f t="shared" si="1"/>
        <v>96.854857871457071</v>
      </c>
    </row>
    <row r="30" spans="1:56" ht="18.75" thickBot="1" x14ac:dyDescent="0.3">
      <c r="A30" s="38">
        <f t="shared" si="3"/>
        <v>46163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43">
        <v>102500</v>
      </c>
      <c r="M30" s="140" t="s">
        <v>119</v>
      </c>
      <c r="N30" s="140" t="s">
        <v>97</v>
      </c>
      <c r="O30" s="139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8</v>
      </c>
      <c r="AE30" s="41">
        <v>8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4"/>
        <v>8.6</v>
      </c>
      <c r="AY30" s="43">
        <f t="shared" si="0"/>
        <v>0.49827287912243967</v>
      </c>
      <c r="AZ30" s="42">
        <f t="shared" si="2"/>
        <v>5.7938706874702293</v>
      </c>
      <c r="BA30" s="44" t="s">
        <v>70</v>
      </c>
      <c r="BB30" s="48"/>
      <c r="BC30" s="46"/>
      <c r="BD30" s="47">
        <f t="shared" si="1"/>
        <v>94.206129312529768</v>
      </c>
    </row>
    <row r="31" spans="1:56" ht="18.75" thickBot="1" x14ac:dyDescent="0.3">
      <c r="A31" s="38">
        <f t="shared" si="3"/>
        <v>46164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43">
        <v>102500</v>
      </c>
      <c r="M31" s="140" t="s">
        <v>119</v>
      </c>
      <c r="N31" s="140" t="s">
        <v>97</v>
      </c>
      <c r="O31" s="139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8</v>
      </c>
      <c r="X31" s="41">
        <v>8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9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4"/>
        <v>9.0666666666666664</v>
      </c>
      <c r="AY31" s="43">
        <f t="shared" si="0"/>
        <v>0.63968382994949202</v>
      </c>
      <c r="AZ31" s="42">
        <f t="shared" si="2"/>
        <v>7.0553363597370442</v>
      </c>
      <c r="BA31" s="44" t="s">
        <v>71</v>
      </c>
      <c r="BB31" s="48"/>
      <c r="BC31" s="49"/>
      <c r="BD31" s="47">
        <f t="shared" si="1"/>
        <v>92.944663640262959</v>
      </c>
    </row>
    <row r="32" spans="1:56" ht="18.75" thickBot="1" x14ac:dyDescent="0.3">
      <c r="A32" s="38">
        <f t="shared" si="3"/>
        <v>46165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43">
        <v>102500</v>
      </c>
      <c r="M32" s="140" t="s">
        <v>119</v>
      </c>
      <c r="N32" s="140" t="s">
        <v>97</v>
      </c>
      <c r="O32" s="139" t="s">
        <v>86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11</v>
      </c>
      <c r="AU32" s="41">
        <v>11</v>
      </c>
      <c r="AV32" s="41">
        <v>11</v>
      </c>
      <c r="AW32" s="41">
        <v>11</v>
      </c>
      <c r="AX32" s="42">
        <f t="shared" si="4"/>
        <v>9.7333333333333325</v>
      </c>
      <c r="AY32" s="43">
        <f t="shared" si="0"/>
        <v>0.69149180728352078</v>
      </c>
      <c r="AZ32" s="42">
        <f t="shared" si="2"/>
        <v>7.1043678830498713</v>
      </c>
      <c r="BA32" s="44" t="s">
        <v>72</v>
      </c>
      <c r="BB32" s="48"/>
      <c r="BC32" s="49"/>
      <c r="BD32" s="47">
        <f t="shared" si="1"/>
        <v>92.895632116950125</v>
      </c>
    </row>
    <row r="33" spans="1:56" ht="18.75" thickBot="1" x14ac:dyDescent="0.3">
      <c r="A33" s="38">
        <f t="shared" si="3"/>
        <v>46166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43">
        <v>102500</v>
      </c>
      <c r="M33" s="140" t="s">
        <v>119</v>
      </c>
      <c r="N33" s="140" t="s">
        <v>97</v>
      </c>
      <c r="O33" s="139" t="s">
        <v>86</v>
      </c>
      <c r="P33" s="40"/>
      <c r="Q33" s="40"/>
      <c r="R33" s="39"/>
      <c r="S33" s="40"/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11</v>
      </c>
      <c r="AM33" s="41">
        <v>11</v>
      </c>
      <c r="AN33" s="41">
        <v>11</v>
      </c>
      <c r="AO33" s="41">
        <v>11</v>
      </c>
      <c r="AP33" s="41">
        <v>11</v>
      </c>
      <c r="AQ33" s="41">
        <v>11</v>
      </c>
      <c r="AR33" s="41">
        <v>11</v>
      </c>
      <c r="AS33" s="41">
        <v>12</v>
      </c>
      <c r="AT33" s="41">
        <v>12</v>
      </c>
      <c r="AU33" s="41">
        <v>12</v>
      </c>
      <c r="AV33" s="41">
        <v>12</v>
      </c>
      <c r="AW33" s="41">
        <v>12</v>
      </c>
      <c r="AX33" s="42">
        <f t="shared" si="4"/>
        <v>10.4</v>
      </c>
      <c r="AY33" s="43">
        <f t="shared" si="0"/>
        <v>0.96846839622300451</v>
      </c>
      <c r="AZ33" s="42">
        <f t="shared" si="2"/>
        <v>9.3121961175288899</v>
      </c>
      <c r="BA33" s="44" t="s">
        <v>73</v>
      </c>
      <c r="BB33" s="48"/>
      <c r="BC33" s="49"/>
      <c r="BD33" s="47">
        <f t="shared" si="1"/>
        <v>90.687803882471115</v>
      </c>
    </row>
    <row r="34" spans="1:56" ht="18.75" thickBot="1" x14ac:dyDescent="0.3">
      <c r="A34" s="38">
        <f t="shared" si="3"/>
        <v>46167</v>
      </c>
      <c r="B34" s="26" t="s">
        <v>50</v>
      </c>
      <c r="E34" s="219"/>
      <c r="F34" s="220"/>
      <c r="G34" s="51"/>
      <c r="H34" s="51"/>
      <c r="I34" s="51"/>
      <c r="J34" s="55"/>
      <c r="K34" s="56"/>
      <c r="L34" s="143">
        <v>102500</v>
      </c>
      <c r="M34" s="140" t="s">
        <v>119</v>
      </c>
      <c r="N34" s="140" t="s">
        <v>97</v>
      </c>
      <c r="O34" s="139" t="s">
        <v>86</v>
      </c>
      <c r="P34" s="40"/>
      <c r="Q34" s="40"/>
      <c r="R34" s="39">
        <v>64950</v>
      </c>
      <c r="S34" s="40">
        <f>R34/L34</f>
        <v>0.63365853658536586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4"/>
        <v/>
      </c>
      <c r="AY34" s="43" t="str">
        <f t="shared" si="0"/>
        <v/>
      </c>
      <c r="AZ34" s="42" t="str">
        <f t="shared" si="2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E34:F34"/>
    <mergeCell ref="A19:A20"/>
    <mergeCell ref="A22:A23"/>
    <mergeCell ref="C22:C25"/>
    <mergeCell ref="A24:A25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Z25:AZ26"/>
    <mergeCell ref="BA25:BA26"/>
    <mergeCell ref="BB25:BB26"/>
    <mergeCell ref="E26:F26"/>
    <mergeCell ref="C27:C33"/>
    <mergeCell ref="D27:D33"/>
    <mergeCell ref="E27:F27"/>
    <mergeCell ref="E28:F28"/>
    <mergeCell ref="E29:F29"/>
    <mergeCell ref="AX25:AX26"/>
    <mergeCell ref="E30:F30"/>
    <mergeCell ref="E31:F31"/>
    <mergeCell ref="E32:F32"/>
    <mergeCell ref="E33:F33"/>
    <mergeCell ref="AY25:AY26"/>
    <mergeCell ref="T25:AW25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611E-3A0E-4FA2-8A7F-68B90DE79FE1}">
  <dimension ref="A1:BD34"/>
  <sheetViews>
    <sheetView topLeftCell="A16" zoomScale="60" zoomScaleNormal="60" workbookViewId="0">
      <selection activeCell="AA33" sqref="AA33:AJ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46149</v>
      </c>
      <c r="B3" s="26" t="s">
        <v>50</v>
      </c>
      <c r="C3" s="218">
        <v>13</v>
      </c>
      <c r="D3" s="217"/>
      <c r="E3" s="50"/>
      <c r="F3" s="51"/>
      <c r="G3" s="51"/>
      <c r="H3" s="51"/>
      <c r="I3" s="54"/>
      <c r="J3" s="52"/>
      <c r="K3" s="53"/>
      <c r="L3" s="143">
        <v>100000</v>
      </c>
      <c r="M3" s="140" t="s">
        <v>120</v>
      </c>
      <c r="N3" s="140" t="s">
        <v>96</v>
      </c>
      <c r="O3" s="139" t="s">
        <v>86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100</v>
      </c>
      <c r="J4" s="55" t="s">
        <v>84</v>
      </c>
      <c r="K4" s="56"/>
      <c r="L4" s="143">
        <v>100000</v>
      </c>
      <c r="M4" s="140" t="s">
        <v>120</v>
      </c>
      <c r="N4" s="140" t="s">
        <v>96</v>
      </c>
      <c r="O4" s="139" t="s">
        <v>86</v>
      </c>
    </row>
    <row r="5" spans="1:23" ht="18.75" thickBot="1" x14ac:dyDescent="0.3">
      <c r="A5" s="215">
        <v>46150</v>
      </c>
      <c r="B5" s="26" t="s">
        <v>50</v>
      </c>
      <c r="C5" s="218"/>
      <c r="D5" s="217"/>
      <c r="E5" s="50" t="s">
        <v>83</v>
      </c>
      <c r="F5" s="51">
        <v>0.06</v>
      </c>
      <c r="G5" s="51"/>
      <c r="H5" s="51"/>
      <c r="I5" s="54" t="s">
        <v>147</v>
      </c>
      <c r="J5" s="55" t="s">
        <v>103</v>
      </c>
      <c r="K5" s="56" t="s">
        <v>93</v>
      </c>
      <c r="L5" s="143">
        <v>100000</v>
      </c>
      <c r="M5" s="140" t="s">
        <v>120</v>
      </c>
      <c r="N5" s="140" t="s">
        <v>96</v>
      </c>
      <c r="O5" s="139" t="s">
        <v>86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153</v>
      </c>
      <c r="J6" s="55" t="s">
        <v>84</v>
      </c>
      <c r="K6" s="56"/>
      <c r="L6" s="143">
        <v>100000</v>
      </c>
      <c r="M6" s="140" t="s">
        <v>120</v>
      </c>
      <c r="N6" s="140" t="s">
        <v>96</v>
      </c>
      <c r="O6" s="139" t="s">
        <v>86</v>
      </c>
    </row>
    <row r="7" spans="1:23" ht="18.75" thickBot="1" x14ac:dyDescent="0.3">
      <c r="A7" s="215">
        <v>46151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174</v>
      </c>
      <c r="J7" s="55" t="s">
        <v>84</v>
      </c>
      <c r="K7" s="56"/>
      <c r="L7" s="143">
        <v>100000</v>
      </c>
      <c r="M7" s="140" t="s">
        <v>120</v>
      </c>
      <c r="N7" s="140" t="s">
        <v>96</v>
      </c>
      <c r="O7" s="139" t="s">
        <v>86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>
        <v>0.06</v>
      </c>
      <c r="H8" s="51"/>
      <c r="I8" s="54" t="s">
        <v>188</v>
      </c>
      <c r="J8" s="55" t="s">
        <v>84</v>
      </c>
      <c r="K8" s="56"/>
      <c r="L8" s="143">
        <v>100000</v>
      </c>
      <c r="M8" s="140" t="s">
        <v>120</v>
      </c>
      <c r="N8" s="140" t="s">
        <v>96</v>
      </c>
      <c r="O8" s="139" t="s">
        <v>86</v>
      </c>
    </row>
    <row r="9" spans="1:23" ht="18.75" thickBot="1" x14ac:dyDescent="0.3">
      <c r="A9" s="215">
        <v>46152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203</v>
      </c>
      <c r="J9" s="55" t="s">
        <v>84</v>
      </c>
      <c r="K9" s="56"/>
      <c r="L9" s="143">
        <v>100000</v>
      </c>
      <c r="M9" s="140" t="s">
        <v>120</v>
      </c>
      <c r="N9" s="140" t="s">
        <v>96</v>
      </c>
      <c r="O9" s="139" t="s">
        <v>86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235</v>
      </c>
      <c r="J10" s="55" t="s">
        <v>84</v>
      </c>
      <c r="K10" s="56"/>
      <c r="L10" s="143">
        <v>100000</v>
      </c>
      <c r="M10" s="140" t="s">
        <v>120</v>
      </c>
      <c r="N10" s="140" t="s">
        <v>96</v>
      </c>
      <c r="O10" s="139" t="s">
        <v>86</v>
      </c>
    </row>
    <row r="11" spans="1:23" ht="18.75" thickBot="1" x14ac:dyDescent="0.3">
      <c r="A11" s="215">
        <v>46153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139</v>
      </c>
      <c r="J11" s="55" t="s">
        <v>84</v>
      </c>
      <c r="K11" s="56"/>
      <c r="L11" s="143">
        <v>100000</v>
      </c>
      <c r="M11" s="140" t="s">
        <v>120</v>
      </c>
      <c r="N11" s="140" t="s">
        <v>96</v>
      </c>
      <c r="O11" s="139" t="s">
        <v>86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260</v>
      </c>
      <c r="J12" s="55" t="s">
        <v>84</v>
      </c>
      <c r="K12" s="56"/>
      <c r="L12" s="143">
        <v>100000</v>
      </c>
      <c r="M12" s="140" t="s">
        <v>120</v>
      </c>
      <c r="N12" s="140" t="s">
        <v>96</v>
      </c>
      <c r="O12" s="139" t="s">
        <v>86</v>
      </c>
      <c r="W12" t="s">
        <v>63</v>
      </c>
    </row>
    <row r="13" spans="1:23" ht="18.75" thickBot="1" x14ac:dyDescent="0.3">
      <c r="A13" s="215">
        <v>46154</v>
      </c>
      <c r="B13" s="26" t="s">
        <v>50</v>
      </c>
      <c r="C13" s="218"/>
      <c r="D13" s="217"/>
      <c r="E13" s="50" t="s">
        <v>271</v>
      </c>
      <c r="F13" s="57"/>
      <c r="G13" s="51"/>
      <c r="H13" s="51"/>
      <c r="I13" s="54"/>
      <c r="J13" s="55" t="s">
        <v>84</v>
      </c>
      <c r="K13" s="56"/>
      <c r="L13" s="143">
        <v>100000</v>
      </c>
      <c r="M13" s="140" t="s">
        <v>120</v>
      </c>
      <c r="N13" s="140" t="s">
        <v>96</v>
      </c>
      <c r="O13" s="139" t="s">
        <v>86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284</v>
      </c>
      <c r="F14" s="57"/>
      <c r="G14" s="51"/>
      <c r="H14" s="51"/>
      <c r="I14" s="54"/>
      <c r="J14" s="55" t="s">
        <v>84</v>
      </c>
      <c r="K14" s="56"/>
      <c r="L14" s="143">
        <v>100000</v>
      </c>
      <c r="M14" s="140" t="s">
        <v>120</v>
      </c>
      <c r="N14" s="140" t="s">
        <v>96</v>
      </c>
      <c r="O14" s="139" t="s">
        <v>86</v>
      </c>
    </row>
    <row r="15" spans="1:23" ht="18.75" thickBot="1" x14ac:dyDescent="0.3">
      <c r="A15" s="215">
        <v>46155</v>
      </c>
      <c r="B15" s="26" t="s">
        <v>50</v>
      </c>
      <c r="C15" s="218"/>
      <c r="D15" s="217"/>
      <c r="E15" s="50" t="s">
        <v>300</v>
      </c>
      <c r="F15" s="57"/>
      <c r="G15" s="58"/>
      <c r="H15" s="51"/>
      <c r="I15" s="54"/>
      <c r="J15" s="55" t="s">
        <v>84</v>
      </c>
      <c r="K15" s="56"/>
      <c r="L15" s="143">
        <v>100000</v>
      </c>
      <c r="M15" s="140" t="s">
        <v>120</v>
      </c>
      <c r="N15" s="140" t="s">
        <v>96</v>
      </c>
      <c r="O15" s="139" t="s">
        <v>86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308</v>
      </c>
      <c r="F16" s="57"/>
      <c r="G16" s="58"/>
      <c r="H16" s="51"/>
      <c r="I16" s="54"/>
      <c r="J16" s="55" t="s">
        <v>95</v>
      </c>
      <c r="K16" s="56" t="s">
        <v>324</v>
      </c>
      <c r="L16" s="143">
        <v>100000</v>
      </c>
      <c r="M16" s="140" t="s">
        <v>120</v>
      </c>
      <c r="N16" s="140" t="s">
        <v>96</v>
      </c>
      <c r="O16" s="139" t="s">
        <v>86</v>
      </c>
    </row>
    <row r="17" spans="1:56" ht="18.75" thickBot="1" x14ac:dyDescent="0.3">
      <c r="A17" s="215">
        <v>46156</v>
      </c>
      <c r="B17" s="26" t="s">
        <v>50</v>
      </c>
      <c r="C17" s="218"/>
      <c r="D17" s="217"/>
      <c r="E17" s="50" t="s">
        <v>314</v>
      </c>
      <c r="F17" s="57"/>
      <c r="G17" s="58"/>
      <c r="H17" s="51"/>
      <c r="I17" s="54"/>
      <c r="J17" s="55" t="s">
        <v>84</v>
      </c>
      <c r="K17" s="56" t="s">
        <v>315</v>
      </c>
      <c r="L17" s="143">
        <v>100000</v>
      </c>
      <c r="M17" s="140" t="s">
        <v>120</v>
      </c>
      <c r="N17" s="140" t="s">
        <v>96</v>
      </c>
      <c r="O17" s="139" t="s">
        <v>86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>
        <v>0.03</v>
      </c>
      <c r="G18" s="58"/>
      <c r="H18" s="51"/>
      <c r="I18" s="54"/>
      <c r="J18" s="55" t="s">
        <v>95</v>
      </c>
      <c r="K18" s="56" t="s">
        <v>324</v>
      </c>
      <c r="L18" s="143">
        <v>100000</v>
      </c>
      <c r="M18" s="140" t="s">
        <v>120</v>
      </c>
      <c r="N18" s="140" t="s">
        <v>96</v>
      </c>
      <c r="O18" s="139" t="s">
        <v>86</v>
      </c>
    </row>
    <row r="19" spans="1:56" ht="18.75" thickBot="1" x14ac:dyDescent="0.3">
      <c r="A19" s="215">
        <v>46157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3"/>
      <c r="L19" s="143">
        <v>100000</v>
      </c>
      <c r="M19" s="140" t="s">
        <v>120</v>
      </c>
      <c r="N19" s="140" t="s">
        <v>96</v>
      </c>
      <c r="O19" s="139" t="s">
        <v>86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/>
      <c r="L20" s="143">
        <v>100000</v>
      </c>
      <c r="M20" s="140" t="s">
        <v>120</v>
      </c>
      <c r="N20" s="140" t="s">
        <v>96</v>
      </c>
      <c r="O20" s="139" t="s">
        <v>86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43">
        <v>100000</v>
      </c>
      <c r="M21" s="140" t="s">
        <v>120</v>
      </c>
      <c r="N21" s="140" t="s">
        <v>96</v>
      </c>
      <c r="O21" s="139" t="s">
        <v>86</v>
      </c>
    </row>
    <row r="22" spans="1:56" ht="18.75" thickBot="1" x14ac:dyDescent="0.3">
      <c r="A22" s="215">
        <f>A19+1</f>
        <v>46158</v>
      </c>
      <c r="B22" s="26" t="s">
        <v>50</v>
      </c>
      <c r="C22" s="216">
        <v>13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6"/>
      <c r="L22" s="143">
        <v>100000</v>
      </c>
      <c r="M22" s="140" t="s">
        <v>120</v>
      </c>
      <c r="N22" s="140" t="s">
        <v>96</v>
      </c>
      <c r="O22" s="139" t="s">
        <v>86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43">
        <v>100000</v>
      </c>
      <c r="M23" s="140" t="s">
        <v>120</v>
      </c>
      <c r="N23" s="140" t="s">
        <v>96</v>
      </c>
      <c r="O23" s="139" t="s">
        <v>86</v>
      </c>
    </row>
    <row r="24" spans="1:56" ht="18.75" thickBot="1" x14ac:dyDescent="0.3">
      <c r="A24" s="215">
        <f>A22+1</f>
        <v>46159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43">
        <v>100000</v>
      </c>
      <c r="M24" s="140" t="s">
        <v>120</v>
      </c>
      <c r="N24" s="140" t="s">
        <v>96</v>
      </c>
      <c r="O24" s="139" t="s">
        <v>86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43">
        <v>100000</v>
      </c>
      <c r="M25" s="140" t="s">
        <v>120</v>
      </c>
      <c r="N25" s="140" t="s">
        <v>96</v>
      </c>
      <c r="O25" s="139" t="s">
        <v>86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46160</v>
      </c>
      <c r="B27" s="26" t="s">
        <v>50</v>
      </c>
      <c r="C27" s="222">
        <v>13</v>
      </c>
      <c r="D27" s="222">
        <v>12</v>
      </c>
      <c r="E27" s="219" t="s">
        <v>67</v>
      </c>
      <c r="F27" s="220"/>
      <c r="G27" s="51"/>
      <c r="H27" s="51">
        <v>0.03</v>
      </c>
      <c r="I27" s="51"/>
      <c r="J27" s="55" t="s">
        <v>84</v>
      </c>
      <c r="K27" s="56"/>
      <c r="L27" s="143">
        <v>100000</v>
      </c>
      <c r="M27" s="140" t="s">
        <v>120</v>
      </c>
      <c r="N27" s="140" t="s">
        <v>96</v>
      </c>
      <c r="O27" s="139" t="s">
        <v>86</v>
      </c>
      <c r="P27" s="39">
        <v>62500</v>
      </c>
      <c r="Q27" s="40">
        <f>P27/L27</f>
        <v>0.625</v>
      </c>
      <c r="R27" s="40"/>
      <c r="S27" s="40"/>
      <c r="T27" s="41">
        <v>6</v>
      </c>
      <c r="U27" s="41">
        <v>6</v>
      </c>
      <c r="V27" s="41">
        <v>6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6.9</v>
      </c>
      <c r="AY27" s="43">
        <f t="shared" ref="AY27:AY34" si="0">IF(AW27&gt;0,STDEV(T27:AW27),"")</f>
        <v>0.30512857662936443</v>
      </c>
      <c r="AZ27" s="42">
        <f>IF(AW27&gt;0,AY27/AX27*100,"")</f>
        <v>4.4221532844835423</v>
      </c>
      <c r="BA27" s="44" t="s">
        <v>67</v>
      </c>
      <c r="BB27" s="45"/>
      <c r="BC27" s="46"/>
      <c r="BD27" s="47">
        <f t="shared" ref="BD27:BD34" si="1">IF(AW27&gt;0,100-AZ27,"")</f>
        <v>95.577846715516458</v>
      </c>
    </row>
    <row r="28" spans="1:56" ht="18.75" thickBot="1" x14ac:dyDescent="0.3">
      <c r="A28" s="38">
        <f>A27+1</f>
        <v>46161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43">
        <v>100000</v>
      </c>
      <c r="M28" s="140" t="s">
        <v>120</v>
      </c>
      <c r="N28" s="140" t="s">
        <v>96</v>
      </c>
      <c r="O28" s="139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8</v>
      </c>
      <c r="AG28" s="41">
        <v>8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>IF(AW28&gt;0,AVERAGE(T28:AW28),"")</f>
        <v>7.6</v>
      </c>
      <c r="AY28" s="43">
        <f>IF(AW28&gt;0,STDEV(T28:AW28),"")</f>
        <v>0.49827287912243967</v>
      </c>
      <c r="AZ28" s="42">
        <f t="shared" ref="AZ28:AZ34" si="2">IF(AW28&gt;0,AY28/AX28*100,"")</f>
        <v>6.5562220937163112</v>
      </c>
      <c r="BA28" s="44" t="s">
        <v>68</v>
      </c>
      <c r="BB28" s="45"/>
      <c r="BC28" s="46"/>
      <c r="BD28" s="47">
        <f t="shared" si="1"/>
        <v>93.443777906283685</v>
      </c>
    </row>
    <row r="29" spans="1:56" ht="18.75" thickBot="1" x14ac:dyDescent="0.3">
      <c r="A29" s="38">
        <f t="shared" ref="A29:A34" si="3">A28+1</f>
        <v>46162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43">
        <v>100000</v>
      </c>
      <c r="M29" s="140" t="s">
        <v>120</v>
      </c>
      <c r="N29" s="140" t="s">
        <v>96</v>
      </c>
      <c r="O29" s="139" t="s">
        <v>86</v>
      </c>
      <c r="P29" s="40"/>
      <c r="Q29" s="40"/>
      <c r="R29" s="40"/>
      <c r="S29" s="40"/>
      <c r="T29" s="41">
        <v>7</v>
      </c>
      <c r="U29" s="41">
        <v>7</v>
      </c>
      <c r="V29" s="41">
        <v>7</v>
      </c>
      <c r="W29" s="41">
        <v>7</v>
      </c>
      <c r="X29" s="41">
        <v>7</v>
      </c>
      <c r="Y29" s="41">
        <v>7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8</v>
      </c>
      <c r="AV29" s="41">
        <v>9</v>
      </c>
      <c r="AW29" s="41">
        <v>9</v>
      </c>
      <c r="AX29" s="42">
        <f t="shared" ref="AX29:AX34" si="4">IF(AW29&gt;0,AVERAGE(T29:AW29),"")</f>
        <v>7.8666666666666663</v>
      </c>
      <c r="AY29" s="43">
        <f t="shared" si="0"/>
        <v>0.50741626340492485</v>
      </c>
      <c r="AZ29" s="42">
        <f t="shared" si="2"/>
        <v>6.4502067381981973</v>
      </c>
      <c r="BA29" s="44" t="s">
        <v>69</v>
      </c>
      <c r="BB29" s="45"/>
      <c r="BC29" s="46"/>
      <c r="BD29" s="47">
        <f t="shared" si="1"/>
        <v>93.549793261801796</v>
      </c>
    </row>
    <row r="30" spans="1:56" ht="18.75" thickBot="1" x14ac:dyDescent="0.3">
      <c r="A30" s="38">
        <f t="shared" si="3"/>
        <v>46163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43">
        <v>100000</v>
      </c>
      <c r="M30" s="140" t="s">
        <v>120</v>
      </c>
      <c r="N30" s="140" t="s">
        <v>96</v>
      </c>
      <c r="O30" s="139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9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4"/>
        <v>8.7333333333333325</v>
      </c>
      <c r="AY30" s="43">
        <f t="shared" si="0"/>
        <v>0.44977644510880366</v>
      </c>
      <c r="AZ30" s="42">
        <f t="shared" si="2"/>
        <v>5.1501119668946984</v>
      </c>
      <c r="BA30" s="44" t="s">
        <v>70</v>
      </c>
      <c r="BB30" s="48"/>
      <c r="BC30" s="46"/>
      <c r="BD30" s="47">
        <f t="shared" si="1"/>
        <v>94.849888033105302</v>
      </c>
    </row>
    <row r="31" spans="1:56" ht="18.75" thickBot="1" x14ac:dyDescent="0.3">
      <c r="A31" s="38">
        <f t="shared" si="3"/>
        <v>46164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43">
        <v>100000</v>
      </c>
      <c r="M31" s="140" t="s">
        <v>120</v>
      </c>
      <c r="N31" s="140" t="s">
        <v>96</v>
      </c>
      <c r="O31" s="139" t="s">
        <v>86</v>
      </c>
      <c r="P31" s="40"/>
      <c r="Q31" s="40"/>
      <c r="R31" s="40"/>
      <c r="S31" s="40"/>
      <c r="T31" s="41">
        <v>8</v>
      </c>
      <c r="U31" s="41">
        <v>8</v>
      </c>
      <c r="V31" s="41">
        <v>8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9</v>
      </c>
      <c r="AO31" s="41">
        <v>9</v>
      </c>
      <c r="AP31" s="41">
        <v>10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4"/>
        <v>9.1666666666666661</v>
      </c>
      <c r="AY31" s="43">
        <f t="shared" si="0"/>
        <v>0.59209349991675986</v>
      </c>
      <c r="AZ31" s="42">
        <f t="shared" si="2"/>
        <v>6.459201817273744</v>
      </c>
      <c r="BA31" s="44" t="s">
        <v>71</v>
      </c>
      <c r="BB31" s="48"/>
      <c r="BC31" s="49"/>
      <c r="BD31" s="47">
        <f t="shared" si="1"/>
        <v>93.540798182726263</v>
      </c>
    </row>
    <row r="32" spans="1:56" ht="18.75" thickBot="1" x14ac:dyDescent="0.3">
      <c r="A32" s="38">
        <f t="shared" si="3"/>
        <v>46165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43">
        <v>100000</v>
      </c>
      <c r="M32" s="140" t="s">
        <v>120</v>
      </c>
      <c r="N32" s="140" t="s">
        <v>96</v>
      </c>
      <c r="O32" s="139" t="s">
        <v>86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10</v>
      </c>
      <c r="AE32" s="41">
        <v>10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11</v>
      </c>
      <c r="AW32" s="41">
        <v>11</v>
      </c>
      <c r="AX32" s="42">
        <f t="shared" si="4"/>
        <v>9.7333333333333325</v>
      </c>
      <c r="AY32" s="43">
        <f t="shared" si="0"/>
        <v>0.58329228098567465</v>
      </c>
      <c r="AZ32" s="42">
        <f t="shared" si="2"/>
        <v>5.992728914236384</v>
      </c>
      <c r="BA32" s="44" t="s">
        <v>72</v>
      </c>
      <c r="BB32" s="48"/>
      <c r="BC32" s="49"/>
      <c r="BD32" s="47">
        <f t="shared" si="1"/>
        <v>94.00727108576362</v>
      </c>
    </row>
    <row r="33" spans="1:56" ht="18.75" thickBot="1" x14ac:dyDescent="0.3">
      <c r="A33" s="38">
        <f t="shared" si="3"/>
        <v>46166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43">
        <v>100000</v>
      </c>
      <c r="M33" s="140" t="s">
        <v>120</v>
      </c>
      <c r="N33" s="140" t="s">
        <v>96</v>
      </c>
      <c r="O33" s="139" t="s">
        <v>86</v>
      </c>
      <c r="P33" s="40"/>
      <c r="Q33" s="40"/>
      <c r="R33" s="39"/>
      <c r="S33" s="40"/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11</v>
      </c>
      <c r="AL33" s="41">
        <v>11</v>
      </c>
      <c r="AM33" s="41">
        <v>11</v>
      </c>
      <c r="AN33" s="41">
        <v>11</v>
      </c>
      <c r="AO33" s="41">
        <v>11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12</v>
      </c>
      <c r="AV33" s="41">
        <v>12</v>
      </c>
      <c r="AW33" s="41">
        <v>12</v>
      </c>
      <c r="AX33" s="42">
        <f t="shared" si="4"/>
        <v>10.3</v>
      </c>
      <c r="AY33" s="43">
        <f t="shared" si="0"/>
        <v>0.95231116328862664</v>
      </c>
      <c r="AZ33" s="42">
        <f t="shared" si="2"/>
        <v>9.2457394494041409</v>
      </c>
      <c r="BA33" s="44" t="s">
        <v>73</v>
      </c>
      <c r="BB33" s="48"/>
      <c r="BC33" s="49"/>
      <c r="BD33" s="47">
        <f t="shared" si="1"/>
        <v>90.754260550595859</v>
      </c>
    </row>
    <row r="34" spans="1:56" ht="18.75" thickBot="1" x14ac:dyDescent="0.3">
      <c r="A34" s="38">
        <f t="shared" si="3"/>
        <v>46167</v>
      </c>
      <c r="B34" s="26" t="s">
        <v>50</v>
      </c>
      <c r="E34" s="219"/>
      <c r="F34" s="220"/>
      <c r="G34" s="51"/>
      <c r="H34" s="51"/>
      <c r="I34" s="51"/>
      <c r="J34" s="55"/>
      <c r="K34" s="56"/>
      <c r="L34" s="143">
        <v>100000</v>
      </c>
      <c r="M34" s="140" t="s">
        <v>120</v>
      </c>
      <c r="N34" s="140" t="s">
        <v>96</v>
      </c>
      <c r="O34" s="139" t="s">
        <v>86</v>
      </c>
      <c r="P34" s="40"/>
      <c r="Q34" s="40"/>
      <c r="R34" s="39">
        <v>60950</v>
      </c>
      <c r="S34" s="40">
        <f>R34/L34</f>
        <v>0.60950000000000004</v>
      </c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2" t="str">
        <f t="shared" si="4"/>
        <v/>
      </c>
      <c r="AY34" s="43" t="str">
        <f t="shared" si="0"/>
        <v/>
      </c>
      <c r="AZ34" s="42" t="str">
        <f t="shared" si="2"/>
        <v/>
      </c>
      <c r="BA34" s="44" t="s">
        <v>82</v>
      </c>
      <c r="BB34" s="48"/>
      <c r="BC34" s="49"/>
      <c r="BD34" s="47" t="str">
        <f t="shared" si="1"/>
        <v/>
      </c>
    </row>
  </sheetData>
  <mergeCells count="31">
    <mergeCell ref="E34:F34"/>
    <mergeCell ref="A19:A20"/>
    <mergeCell ref="A22:A23"/>
    <mergeCell ref="C22:C25"/>
    <mergeCell ref="A24:A25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Z25:AZ26"/>
    <mergeCell ref="BA25:BA26"/>
    <mergeCell ref="BB25:BB26"/>
    <mergeCell ref="E26:F26"/>
    <mergeCell ref="C27:C33"/>
    <mergeCell ref="D27:D33"/>
    <mergeCell ref="E27:F27"/>
    <mergeCell ref="E28:F28"/>
    <mergeCell ref="E29:F29"/>
    <mergeCell ref="AX25:AX26"/>
    <mergeCell ref="E30:F30"/>
    <mergeCell ref="E31:F31"/>
    <mergeCell ref="E32:F32"/>
    <mergeCell ref="E33:F33"/>
    <mergeCell ref="AY25:AY26"/>
    <mergeCell ref="T25:AW25"/>
  </mergeCells>
  <pageMargins left="0.7" right="0.7" top="0.75" bottom="0.75" header="0.3" footer="0.3"/>
  <pageSetup paperSize="9" orientation="landscape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1447-7B05-4277-ACCA-A3F7DA2A94AB}">
  <dimension ref="A1:BD33"/>
  <sheetViews>
    <sheetView topLeftCell="J13" zoomScale="60" zoomScaleNormal="60" workbookViewId="0">
      <selection activeCell="T33" sqref="T33:AW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05" t="s">
        <v>60</v>
      </c>
      <c r="F2" s="105" t="s">
        <v>43</v>
      </c>
      <c r="G2" s="105" t="s">
        <v>44</v>
      </c>
      <c r="H2" s="105" t="s">
        <v>45</v>
      </c>
      <c r="I2" s="29" t="s">
        <v>74</v>
      </c>
      <c r="J2" s="30" t="s">
        <v>46</v>
      </c>
      <c r="K2" s="31" t="s">
        <v>47</v>
      </c>
      <c r="L2" s="129" t="s">
        <v>48</v>
      </c>
      <c r="M2" s="27" t="s">
        <v>25</v>
      </c>
      <c r="N2" s="105" t="s">
        <v>26</v>
      </c>
      <c r="O2" s="32" t="s">
        <v>49</v>
      </c>
    </row>
    <row r="3" spans="1:23" ht="18.75" thickBot="1" x14ac:dyDescent="0.3">
      <c r="A3" s="215">
        <v>46150</v>
      </c>
      <c r="B3" s="26" t="s">
        <v>50</v>
      </c>
      <c r="C3" s="218">
        <v>14</v>
      </c>
      <c r="D3" s="217"/>
      <c r="E3" s="50"/>
      <c r="F3" s="51"/>
      <c r="G3" s="51"/>
      <c r="H3" s="51"/>
      <c r="I3" s="54"/>
      <c r="J3" s="52"/>
      <c r="K3" s="53"/>
      <c r="L3" s="113">
        <v>100000</v>
      </c>
      <c r="M3" s="111" t="s">
        <v>121</v>
      </c>
      <c r="N3" s="111" t="s">
        <v>97</v>
      </c>
      <c r="O3" s="110" t="s">
        <v>85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145</v>
      </c>
      <c r="J4" s="55" t="s">
        <v>158</v>
      </c>
      <c r="K4" s="56"/>
      <c r="L4" s="113">
        <v>100000</v>
      </c>
      <c r="M4" s="111" t="s">
        <v>121</v>
      </c>
      <c r="N4" s="111" t="s">
        <v>97</v>
      </c>
      <c r="O4" s="110" t="s">
        <v>85</v>
      </c>
    </row>
    <row r="5" spans="1:23" ht="18.75" thickBot="1" x14ac:dyDescent="0.3">
      <c r="A5" s="215">
        <v>46151</v>
      </c>
      <c r="B5" s="26" t="s">
        <v>50</v>
      </c>
      <c r="C5" s="218"/>
      <c r="D5" s="217"/>
      <c r="E5" s="50" t="s">
        <v>83</v>
      </c>
      <c r="F5" s="51"/>
      <c r="G5" s="51"/>
      <c r="H5" s="51"/>
      <c r="I5" s="54" t="s">
        <v>175</v>
      </c>
      <c r="J5" s="55" t="s">
        <v>84</v>
      </c>
      <c r="K5" s="56"/>
      <c r="L5" s="113">
        <v>100000</v>
      </c>
      <c r="M5" s="111" t="s">
        <v>121</v>
      </c>
      <c r="N5" s="111" t="s">
        <v>97</v>
      </c>
      <c r="O5" s="110" t="s">
        <v>85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189</v>
      </c>
      <c r="J6" s="55" t="s">
        <v>84</v>
      </c>
      <c r="K6" s="56"/>
      <c r="L6" s="113">
        <v>100000</v>
      </c>
      <c r="M6" s="111" t="s">
        <v>121</v>
      </c>
      <c r="N6" s="111" t="s">
        <v>97</v>
      </c>
      <c r="O6" s="110" t="s">
        <v>85</v>
      </c>
    </row>
    <row r="7" spans="1:23" ht="18.75" thickBot="1" x14ac:dyDescent="0.3">
      <c r="A7" s="215">
        <v>46152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135</v>
      </c>
      <c r="J7" s="55" t="s">
        <v>84</v>
      </c>
      <c r="K7" s="56"/>
      <c r="L7" s="113">
        <v>100000</v>
      </c>
      <c r="M7" s="111" t="s">
        <v>121</v>
      </c>
      <c r="N7" s="111" t="s">
        <v>97</v>
      </c>
      <c r="O7" s="110" t="s">
        <v>85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236</v>
      </c>
      <c r="J8" s="55" t="s">
        <v>84</v>
      </c>
      <c r="K8" s="56"/>
      <c r="L8" s="113">
        <v>100000</v>
      </c>
      <c r="M8" s="111" t="s">
        <v>121</v>
      </c>
      <c r="N8" s="111" t="s">
        <v>97</v>
      </c>
      <c r="O8" s="110" t="s">
        <v>85</v>
      </c>
    </row>
    <row r="9" spans="1:23" ht="18.75" thickBot="1" x14ac:dyDescent="0.3">
      <c r="A9" s="215">
        <v>46153</v>
      </c>
      <c r="B9" s="26" t="s">
        <v>50</v>
      </c>
      <c r="C9" s="218"/>
      <c r="D9" s="217"/>
      <c r="E9" s="50" t="s">
        <v>195</v>
      </c>
      <c r="F9" s="57"/>
      <c r="G9" s="51">
        <v>0.04</v>
      </c>
      <c r="H9" s="51"/>
      <c r="I9" s="54" t="s">
        <v>261</v>
      </c>
      <c r="J9" s="55" t="s">
        <v>84</v>
      </c>
      <c r="K9" s="56"/>
      <c r="L9" s="113">
        <v>100000</v>
      </c>
      <c r="M9" s="111" t="s">
        <v>121</v>
      </c>
      <c r="N9" s="111" t="s">
        <v>97</v>
      </c>
      <c r="O9" s="110" t="s">
        <v>85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256</v>
      </c>
      <c r="J10" s="55" t="s">
        <v>84</v>
      </c>
      <c r="K10" s="56"/>
      <c r="L10" s="113">
        <v>100000</v>
      </c>
      <c r="M10" s="111" t="s">
        <v>121</v>
      </c>
      <c r="N10" s="111" t="s">
        <v>97</v>
      </c>
      <c r="O10" s="110" t="s">
        <v>85</v>
      </c>
    </row>
    <row r="11" spans="1:23" ht="18.75" thickBot="1" x14ac:dyDescent="0.3">
      <c r="A11" s="215">
        <v>46154</v>
      </c>
      <c r="B11" s="26" t="s">
        <v>50</v>
      </c>
      <c r="C11" s="218"/>
      <c r="D11" s="217"/>
      <c r="E11" s="50" t="s">
        <v>244</v>
      </c>
      <c r="F11" s="57"/>
      <c r="G11" s="51">
        <v>0.06</v>
      </c>
      <c r="H11" s="51"/>
      <c r="I11" s="54" t="s">
        <v>264</v>
      </c>
      <c r="J11" s="55" t="s">
        <v>84</v>
      </c>
      <c r="K11" s="56"/>
      <c r="L11" s="113">
        <v>100000</v>
      </c>
      <c r="M11" s="111" t="s">
        <v>121</v>
      </c>
      <c r="N11" s="111" t="s">
        <v>97</v>
      </c>
      <c r="O11" s="110" t="s">
        <v>85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290</v>
      </c>
      <c r="J12" s="55" t="s">
        <v>84</v>
      </c>
      <c r="K12" s="56"/>
      <c r="L12" s="113">
        <v>100000</v>
      </c>
      <c r="M12" s="111" t="s">
        <v>121</v>
      </c>
      <c r="N12" s="111" t="s">
        <v>97</v>
      </c>
      <c r="O12" s="110" t="s">
        <v>85</v>
      </c>
      <c r="W12" t="s">
        <v>63</v>
      </c>
    </row>
    <row r="13" spans="1:23" ht="18.75" thickBot="1" x14ac:dyDescent="0.3">
      <c r="A13" s="215">
        <v>46155</v>
      </c>
      <c r="B13" s="26" t="s">
        <v>50</v>
      </c>
      <c r="C13" s="218"/>
      <c r="D13" s="217"/>
      <c r="E13" s="50" t="s">
        <v>267</v>
      </c>
      <c r="F13" s="57"/>
      <c r="G13" s="51"/>
      <c r="H13" s="51"/>
      <c r="I13" s="54"/>
      <c r="J13" s="55" t="s">
        <v>84</v>
      </c>
      <c r="K13" s="56"/>
      <c r="L13" s="113">
        <v>100000</v>
      </c>
      <c r="M13" s="111" t="s">
        <v>121</v>
      </c>
      <c r="N13" s="111" t="s">
        <v>97</v>
      </c>
      <c r="O13" s="110" t="s">
        <v>85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270</v>
      </c>
      <c r="F14" s="57"/>
      <c r="G14" s="51"/>
      <c r="H14" s="51"/>
      <c r="I14" s="54"/>
      <c r="J14" s="55" t="s">
        <v>95</v>
      </c>
      <c r="K14" s="56"/>
      <c r="L14" s="113">
        <v>100000</v>
      </c>
      <c r="M14" s="111" t="s">
        <v>121</v>
      </c>
      <c r="N14" s="111" t="s">
        <v>97</v>
      </c>
      <c r="O14" s="110" t="s">
        <v>85</v>
      </c>
    </row>
    <row r="15" spans="1:23" ht="18.75" thickBot="1" x14ac:dyDescent="0.3">
      <c r="A15" s="215">
        <v>46156</v>
      </c>
      <c r="B15" s="26" t="s">
        <v>50</v>
      </c>
      <c r="C15" s="218"/>
      <c r="D15" s="217"/>
      <c r="E15" s="50" t="s">
        <v>300</v>
      </c>
      <c r="F15" s="57"/>
      <c r="G15" s="58">
        <v>0.03</v>
      </c>
      <c r="H15" s="51"/>
      <c r="I15" s="54"/>
      <c r="J15" s="55" t="s">
        <v>84</v>
      </c>
      <c r="K15" s="56"/>
      <c r="L15" s="113">
        <v>100000</v>
      </c>
      <c r="M15" s="111" t="s">
        <v>121</v>
      </c>
      <c r="N15" s="111" t="s">
        <v>97</v>
      </c>
      <c r="O15" s="110" t="s">
        <v>85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308</v>
      </c>
      <c r="F16" s="57"/>
      <c r="G16" s="58">
        <v>0.03</v>
      </c>
      <c r="H16" s="51"/>
      <c r="I16" s="54"/>
      <c r="J16" s="55" t="s">
        <v>84</v>
      </c>
      <c r="K16" s="56"/>
      <c r="L16" s="113">
        <v>100000</v>
      </c>
      <c r="M16" s="111" t="s">
        <v>121</v>
      </c>
      <c r="N16" s="111" t="s">
        <v>97</v>
      </c>
      <c r="O16" s="110" t="s">
        <v>85</v>
      </c>
    </row>
    <row r="17" spans="1:56" ht="18.75" thickBot="1" x14ac:dyDescent="0.3">
      <c r="A17" s="215">
        <v>46157</v>
      </c>
      <c r="B17" s="26" t="s">
        <v>50</v>
      </c>
      <c r="C17" s="218"/>
      <c r="D17" s="217"/>
      <c r="E17" s="50" t="s">
        <v>314</v>
      </c>
      <c r="F17" s="57"/>
      <c r="G17" s="58"/>
      <c r="H17" s="51"/>
      <c r="I17" s="54"/>
      <c r="J17" s="55" t="s">
        <v>84</v>
      </c>
      <c r="K17" s="56"/>
      <c r="L17" s="113">
        <v>100000</v>
      </c>
      <c r="M17" s="111" t="s">
        <v>121</v>
      </c>
      <c r="N17" s="111" t="s">
        <v>97</v>
      </c>
      <c r="O17" s="110" t="s">
        <v>85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/>
      <c r="H18" s="51"/>
      <c r="I18" s="54"/>
      <c r="J18" s="55" t="s">
        <v>84</v>
      </c>
      <c r="K18" s="53"/>
      <c r="L18" s="113">
        <v>100000</v>
      </c>
      <c r="M18" s="111" t="s">
        <v>121</v>
      </c>
      <c r="N18" s="111" t="s">
        <v>97</v>
      </c>
      <c r="O18" s="110" t="s">
        <v>85</v>
      </c>
    </row>
    <row r="19" spans="1:56" ht="18.75" thickBot="1" x14ac:dyDescent="0.3">
      <c r="A19" s="215">
        <v>46158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3"/>
      <c r="L19" s="113">
        <v>100000</v>
      </c>
      <c r="M19" s="111" t="s">
        <v>121</v>
      </c>
      <c r="N19" s="111" t="s">
        <v>97</v>
      </c>
      <c r="O19" s="110" t="s">
        <v>85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/>
      <c r="L20" s="113">
        <v>100000</v>
      </c>
      <c r="M20" s="111" t="s">
        <v>121</v>
      </c>
      <c r="N20" s="111" t="s">
        <v>97</v>
      </c>
      <c r="O20" s="110" t="s">
        <v>85</v>
      </c>
    </row>
    <row r="21" spans="1:56" ht="18.75" thickBot="1" x14ac:dyDescent="0.3">
      <c r="A21" s="33"/>
      <c r="B21" s="33"/>
      <c r="C21" s="27"/>
      <c r="D21" s="105" t="s">
        <v>52</v>
      </c>
      <c r="E21" s="59"/>
      <c r="F21" s="59"/>
      <c r="G21" s="59"/>
      <c r="H21" s="59"/>
      <c r="I21" s="59"/>
      <c r="J21" s="77"/>
      <c r="K21" s="61"/>
      <c r="L21" s="113">
        <v>100000</v>
      </c>
      <c r="M21" s="111" t="s">
        <v>121</v>
      </c>
      <c r="N21" s="111" t="s">
        <v>97</v>
      </c>
      <c r="O21" s="110" t="s">
        <v>85</v>
      </c>
    </row>
    <row r="22" spans="1:56" ht="18.75" thickBot="1" x14ac:dyDescent="0.3">
      <c r="A22" s="215">
        <f>A19+1</f>
        <v>46159</v>
      </c>
      <c r="B22" s="26" t="s">
        <v>50</v>
      </c>
      <c r="C22" s="216">
        <v>14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6"/>
      <c r="L22" s="113">
        <v>100000</v>
      </c>
      <c r="M22" s="111" t="s">
        <v>121</v>
      </c>
      <c r="N22" s="111" t="s">
        <v>97</v>
      </c>
      <c r="O22" s="110" t="s">
        <v>85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13">
        <v>100000</v>
      </c>
      <c r="M23" s="111" t="s">
        <v>121</v>
      </c>
      <c r="N23" s="111" t="s">
        <v>97</v>
      </c>
      <c r="O23" s="110" t="s">
        <v>85</v>
      </c>
    </row>
    <row r="24" spans="1:56" ht="18.75" thickBot="1" x14ac:dyDescent="0.3">
      <c r="A24" s="215">
        <f>A22+1</f>
        <v>46160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13">
        <v>100000</v>
      </c>
      <c r="M24" s="111" t="s">
        <v>121</v>
      </c>
      <c r="N24" s="111" t="s">
        <v>97</v>
      </c>
      <c r="O24" s="110" t="s">
        <v>85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13">
        <v>100000</v>
      </c>
      <c r="M25" s="111" t="s">
        <v>121</v>
      </c>
      <c r="N25" s="111" t="s">
        <v>97</v>
      </c>
      <c r="O25" s="110" t="s">
        <v>85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04"/>
      <c r="B26" s="26"/>
      <c r="C26" s="105" t="s">
        <v>53</v>
      </c>
      <c r="D26" s="105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28" t="s">
        <v>48</v>
      </c>
      <c r="M26" s="107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06">
        <v>1</v>
      </c>
      <c r="U26" s="106">
        <v>2</v>
      </c>
      <c r="V26" s="106">
        <v>3</v>
      </c>
      <c r="W26" s="106">
        <v>4</v>
      </c>
      <c r="X26" s="106">
        <v>5</v>
      </c>
      <c r="Y26" s="106">
        <v>6</v>
      </c>
      <c r="Z26" s="106">
        <v>7</v>
      </c>
      <c r="AA26" s="106">
        <v>8</v>
      </c>
      <c r="AB26" s="106">
        <v>9</v>
      </c>
      <c r="AC26" s="106">
        <v>10</v>
      </c>
      <c r="AD26" s="106">
        <v>11</v>
      </c>
      <c r="AE26" s="106">
        <v>12</v>
      </c>
      <c r="AF26" s="106">
        <v>13</v>
      </c>
      <c r="AG26" s="106">
        <v>14</v>
      </c>
      <c r="AH26" s="106">
        <v>15</v>
      </c>
      <c r="AI26" s="106">
        <v>16</v>
      </c>
      <c r="AJ26" s="106">
        <v>17</v>
      </c>
      <c r="AK26" s="106">
        <v>18</v>
      </c>
      <c r="AL26" s="106">
        <v>19</v>
      </c>
      <c r="AM26" s="106">
        <v>20</v>
      </c>
      <c r="AN26" s="106">
        <v>21</v>
      </c>
      <c r="AO26" s="106">
        <v>22</v>
      </c>
      <c r="AP26" s="106">
        <v>23</v>
      </c>
      <c r="AQ26" s="106">
        <v>24</v>
      </c>
      <c r="AR26" s="106">
        <v>25</v>
      </c>
      <c r="AS26" s="106">
        <v>26</v>
      </c>
      <c r="AT26" s="106">
        <v>27</v>
      </c>
      <c r="AU26" s="106">
        <v>28</v>
      </c>
      <c r="AV26" s="106">
        <v>29</v>
      </c>
      <c r="AW26" s="106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46161</v>
      </c>
      <c r="B27" s="26" t="s">
        <v>50</v>
      </c>
      <c r="C27" s="222">
        <v>14</v>
      </c>
      <c r="D27" s="222">
        <v>13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13">
        <v>100000</v>
      </c>
      <c r="M27" s="111" t="s">
        <v>121</v>
      </c>
      <c r="N27" s="111" t="s">
        <v>97</v>
      </c>
      <c r="O27" s="110" t="s">
        <v>85</v>
      </c>
      <c r="P27" s="39">
        <v>88500</v>
      </c>
      <c r="Q27" s="40">
        <f>P27/L27</f>
        <v>0.88500000000000001</v>
      </c>
      <c r="R27" s="40"/>
      <c r="S27" s="40"/>
      <c r="T27" s="41">
        <v>6</v>
      </c>
      <c r="U27" s="41">
        <v>6</v>
      </c>
      <c r="V27" s="41">
        <v>6</v>
      </c>
      <c r="W27" s="41">
        <v>6</v>
      </c>
      <c r="X27" s="41">
        <v>6</v>
      </c>
      <c r="Y27" s="41">
        <v>6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6.8</v>
      </c>
      <c r="AY27" s="43">
        <f t="shared" ref="AY27:AY33" si="0">IF(AW27&gt;0,STDEV(T27:AW27),"")</f>
        <v>0.40683810217248617</v>
      </c>
      <c r="AZ27" s="42">
        <f>IF(AW27&gt;0,AY27/AX27*100,"")</f>
        <v>5.9829132672424432</v>
      </c>
      <c r="BA27" s="44" t="s">
        <v>67</v>
      </c>
      <c r="BB27" s="45"/>
      <c r="BC27" s="46"/>
      <c r="BD27" s="47">
        <f t="shared" ref="BD27:BD33" si="1">IF(AW27&gt;0,100-AZ27,"")</f>
        <v>94.017086732757562</v>
      </c>
    </row>
    <row r="28" spans="1:56" ht="18.75" thickBot="1" x14ac:dyDescent="0.3">
      <c r="A28" s="38">
        <f>A27+1</f>
        <v>46162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13">
        <v>100000</v>
      </c>
      <c r="M28" s="111" t="s">
        <v>121</v>
      </c>
      <c r="N28" s="111" t="s">
        <v>97</v>
      </c>
      <c r="O28" s="110" t="s">
        <v>85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7</v>
      </c>
      <c r="AJ28" s="41">
        <v>7</v>
      </c>
      <c r="AK28" s="41">
        <v>7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7.4</v>
      </c>
      <c r="AY28" s="43">
        <f t="shared" si="0"/>
        <v>0.49827287912243973</v>
      </c>
      <c r="AZ28" s="42">
        <f t="shared" ref="AZ28:AZ33" si="3">IF(AW28&gt;0,AY28/AX28*100,"")</f>
        <v>6.7334172854383745</v>
      </c>
      <c r="BA28" s="44" t="s">
        <v>68</v>
      </c>
      <c r="BB28" s="45"/>
      <c r="BC28" s="46"/>
      <c r="BD28" s="47">
        <f t="shared" si="1"/>
        <v>93.266582714561622</v>
      </c>
    </row>
    <row r="29" spans="1:56" ht="18.75" thickBot="1" x14ac:dyDescent="0.3">
      <c r="A29" s="38">
        <f t="shared" ref="A29:A33" si="4">A28+1</f>
        <v>46163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13">
        <v>100000</v>
      </c>
      <c r="M29" s="111" t="s">
        <v>121</v>
      </c>
      <c r="N29" s="111" t="s">
        <v>97</v>
      </c>
      <c r="O29" s="110" t="s">
        <v>85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9</v>
      </c>
      <c r="AQ29" s="41">
        <v>9</v>
      </c>
      <c r="AR29" s="41">
        <v>9</v>
      </c>
      <c r="AS29" s="41">
        <v>9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si="2"/>
        <v>8.2666666666666675</v>
      </c>
      <c r="AY29" s="43">
        <f t="shared" si="0"/>
        <v>0.44977644510880366</v>
      </c>
      <c r="AZ29" s="42">
        <f t="shared" si="3"/>
        <v>5.4408440940581082</v>
      </c>
      <c r="BA29" s="44" t="s">
        <v>69</v>
      </c>
      <c r="BB29" s="45"/>
      <c r="BC29" s="46"/>
      <c r="BD29" s="47">
        <f t="shared" si="1"/>
        <v>94.559155905941893</v>
      </c>
    </row>
    <row r="30" spans="1:56" ht="18.75" thickBot="1" x14ac:dyDescent="0.3">
      <c r="A30" s="38">
        <f t="shared" si="4"/>
        <v>46164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13">
        <v>100000</v>
      </c>
      <c r="M30" s="111" t="s">
        <v>121</v>
      </c>
      <c r="N30" s="111" t="s">
        <v>97</v>
      </c>
      <c r="O30" s="110" t="s">
        <v>85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9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8.7333333333333325</v>
      </c>
      <c r="AY30" s="43">
        <f t="shared" si="0"/>
        <v>0.44977644510880366</v>
      </c>
      <c r="AZ30" s="42">
        <f t="shared" si="3"/>
        <v>5.1501119668946984</v>
      </c>
      <c r="BA30" s="44" t="s">
        <v>70</v>
      </c>
      <c r="BB30" s="48"/>
      <c r="BC30" s="46"/>
      <c r="BD30" s="47">
        <f t="shared" si="1"/>
        <v>94.849888033105302</v>
      </c>
    </row>
    <row r="31" spans="1:56" ht="18.75" thickBot="1" x14ac:dyDescent="0.3">
      <c r="A31" s="38">
        <f t="shared" si="4"/>
        <v>46165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13">
        <v>100000</v>
      </c>
      <c r="M31" s="111" t="s">
        <v>121</v>
      </c>
      <c r="N31" s="111" t="s">
        <v>97</v>
      </c>
      <c r="O31" s="110" t="s">
        <v>85</v>
      </c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10</v>
      </c>
      <c r="AH31" s="41">
        <v>10</v>
      </c>
      <c r="AI31" s="41">
        <v>10</v>
      </c>
      <c r="AJ31" s="41">
        <v>10</v>
      </c>
      <c r="AK31" s="41">
        <v>10</v>
      </c>
      <c r="AL31" s="41">
        <v>10</v>
      </c>
      <c r="AM31" s="41">
        <v>10</v>
      </c>
      <c r="AN31" s="41">
        <v>10</v>
      </c>
      <c r="AO31" s="41">
        <v>10</v>
      </c>
      <c r="AP31" s="41">
        <v>10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2"/>
        <v>9.5666666666666664</v>
      </c>
      <c r="AY31" s="43">
        <f t="shared" si="0"/>
        <v>0.50400693299373078</v>
      </c>
      <c r="AZ31" s="42">
        <f t="shared" si="3"/>
        <v>5.2683651532445728</v>
      </c>
      <c r="BA31" s="44" t="s">
        <v>71</v>
      </c>
      <c r="BB31" s="48"/>
      <c r="BC31" s="49"/>
      <c r="BD31" s="47">
        <f t="shared" si="1"/>
        <v>94.731634846755426</v>
      </c>
    </row>
    <row r="32" spans="1:56" ht="18.75" thickBot="1" x14ac:dyDescent="0.3">
      <c r="A32" s="38">
        <f t="shared" si="4"/>
        <v>46166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13">
        <v>100000</v>
      </c>
      <c r="M32" s="111" t="s">
        <v>121</v>
      </c>
      <c r="N32" s="111" t="s">
        <v>97</v>
      </c>
      <c r="O32" s="110" t="s">
        <v>85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10</v>
      </c>
      <c r="AA32" s="41">
        <v>10</v>
      </c>
      <c r="AB32" s="41">
        <v>10</v>
      </c>
      <c r="AC32" s="41">
        <v>10</v>
      </c>
      <c r="AD32" s="41">
        <v>10</v>
      </c>
      <c r="AE32" s="41">
        <v>10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9.8000000000000007</v>
      </c>
      <c r="AY32" s="43">
        <f t="shared" si="0"/>
        <v>0.4068381021724865</v>
      </c>
      <c r="AZ32" s="42">
        <f t="shared" si="3"/>
        <v>4.1514092058416985</v>
      </c>
      <c r="BA32" s="44" t="s">
        <v>72</v>
      </c>
      <c r="BB32" s="48"/>
      <c r="BC32" s="49"/>
      <c r="BD32" s="47">
        <f t="shared" si="1"/>
        <v>95.848590794158298</v>
      </c>
    </row>
    <row r="33" spans="1:56" ht="18.75" thickBot="1" x14ac:dyDescent="0.3">
      <c r="A33" s="38">
        <f t="shared" si="4"/>
        <v>46167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13">
        <v>100000</v>
      </c>
      <c r="M33" s="111" t="s">
        <v>121</v>
      </c>
      <c r="N33" s="111" t="s">
        <v>97</v>
      </c>
      <c r="O33" s="110" t="s">
        <v>85</v>
      </c>
      <c r="P33" s="40"/>
      <c r="Q33" s="40"/>
      <c r="R33" s="39">
        <v>86150</v>
      </c>
      <c r="S33" s="40">
        <f>R33/L33</f>
        <v>0.86150000000000004</v>
      </c>
      <c r="T33" s="41">
        <v>9</v>
      </c>
      <c r="U33" s="41">
        <v>9</v>
      </c>
      <c r="V33" s="41">
        <v>9</v>
      </c>
      <c r="W33" s="41">
        <v>10</v>
      </c>
      <c r="X33" s="41">
        <v>10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10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10.1</v>
      </c>
      <c r="AY33" s="43">
        <f t="shared" si="0"/>
        <v>0.54772255750516607</v>
      </c>
      <c r="AZ33" s="42">
        <f t="shared" si="3"/>
        <v>5.4229956188630313</v>
      </c>
      <c r="BA33" s="44" t="s">
        <v>73</v>
      </c>
      <c r="BB33" s="48"/>
      <c r="BC33" s="49"/>
      <c r="BD33" s="47">
        <f t="shared" si="1"/>
        <v>94.577004381136973</v>
      </c>
    </row>
  </sheetData>
  <mergeCells count="30">
    <mergeCell ref="A19:A20"/>
    <mergeCell ref="A22:A23"/>
    <mergeCell ref="C22:C25"/>
    <mergeCell ref="A24:A25"/>
    <mergeCell ref="T25:AW25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Z25:AZ26"/>
    <mergeCell ref="BA25:BA26"/>
    <mergeCell ref="BB25:BB26"/>
    <mergeCell ref="E26:F26"/>
    <mergeCell ref="C27:C33"/>
    <mergeCell ref="D27:D33"/>
    <mergeCell ref="E27:F27"/>
    <mergeCell ref="E28:F28"/>
    <mergeCell ref="E29:F29"/>
    <mergeCell ref="AX25:AX26"/>
    <mergeCell ref="E30:F30"/>
    <mergeCell ref="E31:F31"/>
    <mergeCell ref="E32:F32"/>
    <mergeCell ref="E33:F33"/>
    <mergeCell ref="AY25:AY26"/>
  </mergeCells>
  <pageMargins left="0.7" right="0.7" top="0.75" bottom="0.75" header="0.3" footer="0.3"/>
  <pageSetup paperSize="9" orientation="landscape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D33"/>
  <sheetViews>
    <sheetView topLeftCell="J10" zoomScale="60" zoomScaleNormal="60" workbookViewId="0">
      <selection activeCell="AN33" sqref="AN33:AR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46150</v>
      </c>
      <c r="B3" s="26" t="s">
        <v>50</v>
      </c>
      <c r="C3" s="218">
        <v>15</v>
      </c>
      <c r="D3" s="217"/>
      <c r="E3" s="50"/>
      <c r="F3" s="51"/>
      <c r="G3" s="51"/>
      <c r="H3" s="51"/>
      <c r="I3" s="54"/>
      <c r="J3" s="52"/>
      <c r="K3" s="53"/>
      <c r="L3" s="113">
        <v>100000</v>
      </c>
      <c r="M3" s="111" t="s">
        <v>122</v>
      </c>
      <c r="N3" s="111" t="s">
        <v>96</v>
      </c>
      <c r="O3" s="110" t="s">
        <v>85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159</v>
      </c>
      <c r="J4" s="55" t="s">
        <v>160</v>
      </c>
      <c r="K4" s="56"/>
      <c r="L4" s="113">
        <v>100000</v>
      </c>
      <c r="M4" s="111" t="s">
        <v>122</v>
      </c>
      <c r="N4" s="111" t="s">
        <v>96</v>
      </c>
      <c r="O4" s="110" t="s">
        <v>85</v>
      </c>
    </row>
    <row r="5" spans="1:23" ht="18.75" thickBot="1" x14ac:dyDescent="0.3">
      <c r="A5" s="215">
        <v>46151</v>
      </c>
      <c r="B5" s="26" t="s">
        <v>50</v>
      </c>
      <c r="C5" s="218"/>
      <c r="D5" s="217"/>
      <c r="E5" s="50" t="s">
        <v>83</v>
      </c>
      <c r="F5" s="51"/>
      <c r="G5" s="51"/>
      <c r="H5" s="51"/>
      <c r="I5" s="54" t="s">
        <v>176</v>
      </c>
      <c r="J5" s="55" t="s">
        <v>84</v>
      </c>
      <c r="K5" s="56"/>
      <c r="L5" s="113">
        <v>100000</v>
      </c>
      <c r="M5" s="111" t="s">
        <v>122</v>
      </c>
      <c r="N5" s="111" t="s">
        <v>96</v>
      </c>
      <c r="O5" s="110" t="s">
        <v>85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190</v>
      </c>
      <c r="J6" s="55" t="s">
        <v>84</v>
      </c>
      <c r="K6" s="56"/>
      <c r="L6" s="113">
        <v>100000</v>
      </c>
      <c r="M6" s="111" t="s">
        <v>122</v>
      </c>
      <c r="N6" s="111" t="s">
        <v>96</v>
      </c>
      <c r="O6" s="110" t="s">
        <v>85</v>
      </c>
    </row>
    <row r="7" spans="1:23" ht="18.75" thickBot="1" x14ac:dyDescent="0.3">
      <c r="A7" s="215">
        <v>46152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207</v>
      </c>
      <c r="J7" s="55" t="s">
        <v>84</v>
      </c>
      <c r="K7" s="56"/>
      <c r="L7" s="113">
        <v>100000</v>
      </c>
      <c r="M7" s="111" t="s">
        <v>122</v>
      </c>
      <c r="N7" s="111" t="s">
        <v>96</v>
      </c>
      <c r="O7" s="110" t="s">
        <v>85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237</v>
      </c>
      <c r="J8" s="55" t="s">
        <v>84</v>
      </c>
      <c r="K8" s="56"/>
      <c r="L8" s="113">
        <v>100000</v>
      </c>
      <c r="M8" s="111" t="s">
        <v>122</v>
      </c>
      <c r="N8" s="111" t="s">
        <v>96</v>
      </c>
      <c r="O8" s="110" t="s">
        <v>85</v>
      </c>
    </row>
    <row r="9" spans="1:23" ht="18.75" thickBot="1" x14ac:dyDescent="0.3">
      <c r="A9" s="215">
        <v>46153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252</v>
      </c>
      <c r="J9" s="55" t="s">
        <v>84</v>
      </c>
      <c r="K9" s="56"/>
      <c r="L9" s="113">
        <v>100000</v>
      </c>
      <c r="M9" s="111" t="s">
        <v>122</v>
      </c>
      <c r="N9" s="111" t="s">
        <v>96</v>
      </c>
      <c r="O9" s="110" t="s">
        <v>85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239</v>
      </c>
      <c r="J10" s="55" t="s">
        <v>84</v>
      </c>
      <c r="K10" s="56"/>
      <c r="L10" s="113">
        <v>100000</v>
      </c>
      <c r="M10" s="111" t="s">
        <v>122</v>
      </c>
      <c r="N10" s="111" t="s">
        <v>96</v>
      </c>
      <c r="O10" s="110" t="s">
        <v>85</v>
      </c>
    </row>
    <row r="11" spans="1:23" ht="18.75" thickBot="1" x14ac:dyDescent="0.3">
      <c r="A11" s="215">
        <v>46154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256</v>
      </c>
      <c r="J11" s="55" t="s">
        <v>84</v>
      </c>
      <c r="K11" s="56"/>
      <c r="L11" s="113">
        <v>100000</v>
      </c>
      <c r="M11" s="111" t="s">
        <v>122</v>
      </c>
      <c r="N11" s="111" t="s">
        <v>96</v>
      </c>
      <c r="O11" s="110" t="s">
        <v>85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254</v>
      </c>
      <c r="J12" s="55" t="s">
        <v>84</v>
      </c>
      <c r="K12" s="56"/>
      <c r="L12" s="113">
        <v>100000</v>
      </c>
      <c r="M12" s="111" t="s">
        <v>122</v>
      </c>
      <c r="N12" s="111" t="s">
        <v>96</v>
      </c>
      <c r="O12" s="110" t="s">
        <v>85</v>
      </c>
      <c r="W12" t="s">
        <v>63</v>
      </c>
    </row>
    <row r="13" spans="1:23" ht="18.75" thickBot="1" x14ac:dyDescent="0.3">
      <c r="A13" s="215">
        <v>46155</v>
      </c>
      <c r="B13" s="26" t="s">
        <v>50</v>
      </c>
      <c r="C13" s="218"/>
      <c r="D13" s="217"/>
      <c r="E13" s="50" t="s">
        <v>302</v>
      </c>
      <c r="F13" s="57"/>
      <c r="G13" s="51"/>
      <c r="H13" s="51"/>
      <c r="I13" s="54"/>
      <c r="J13" s="55" t="s">
        <v>84</v>
      </c>
      <c r="K13" s="56"/>
      <c r="L13" s="113">
        <v>100000</v>
      </c>
      <c r="M13" s="111" t="s">
        <v>122</v>
      </c>
      <c r="N13" s="111" t="s">
        <v>96</v>
      </c>
      <c r="O13" s="110" t="s">
        <v>85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288</v>
      </c>
      <c r="F14" s="57"/>
      <c r="G14" s="51"/>
      <c r="H14" s="51"/>
      <c r="I14" s="54"/>
      <c r="J14" s="55" t="s">
        <v>84</v>
      </c>
      <c r="K14" s="56"/>
      <c r="L14" s="113">
        <v>100000</v>
      </c>
      <c r="M14" s="111" t="s">
        <v>122</v>
      </c>
      <c r="N14" s="111" t="s">
        <v>96</v>
      </c>
      <c r="O14" s="110" t="s">
        <v>85</v>
      </c>
    </row>
    <row r="15" spans="1:23" ht="18.75" thickBot="1" x14ac:dyDescent="0.3">
      <c r="A15" s="215">
        <v>46156</v>
      </c>
      <c r="B15" s="26" t="s">
        <v>50</v>
      </c>
      <c r="C15" s="218"/>
      <c r="D15" s="217"/>
      <c r="E15" s="50" t="s">
        <v>300</v>
      </c>
      <c r="F15" s="57"/>
      <c r="G15" s="58"/>
      <c r="H15" s="51"/>
      <c r="I15" s="54"/>
      <c r="J15" s="55" t="s">
        <v>84</v>
      </c>
      <c r="K15" s="56"/>
      <c r="L15" s="113">
        <v>100000</v>
      </c>
      <c r="M15" s="111" t="s">
        <v>122</v>
      </c>
      <c r="N15" s="111" t="s">
        <v>96</v>
      </c>
      <c r="O15" s="110" t="s">
        <v>85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310</v>
      </c>
      <c r="F16" s="57"/>
      <c r="G16" s="58"/>
      <c r="H16" s="51"/>
      <c r="I16" s="54"/>
      <c r="J16" s="55" t="s">
        <v>84</v>
      </c>
      <c r="K16" s="56"/>
      <c r="L16" s="113">
        <v>100000</v>
      </c>
      <c r="M16" s="111" t="s">
        <v>122</v>
      </c>
      <c r="N16" s="111" t="s">
        <v>96</v>
      </c>
      <c r="O16" s="110" t="s">
        <v>85</v>
      </c>
    </row>
    <row r="17" spans="1:56" ht="18.75" thickBot="1" x14ac:dyDescent="0.3">
      <c r="A17" s="215">
        <v>46157</v>
      </c>
      <c r="B17" s="26" t="s">
        <v>50</v>
      </c>
      <c r="C17" s="218"/>
      <c r="D17" s="217"/>
      <c r="E17" s="50" t="s">
        <v>314</v>
      </c>
      <c r="F17" s="57"/>
      <c r="G17" s="58">
        <v>0.03</v>
      </c>
      <c r="H17" s="51"/>
      <c r="I17" s="54"/>
      <c r="J17" s="55" t="s">
        <v>84</v>
      </c>
      <c r="K17" s="56"/>
      <c r="L17" s="113">
        <v>100000</v>
      </c>
      <c r="M17" s="111" t="s">
        <v>122</v>
      </c>
      <c r="N17" s="111" t="s">
        <v>96</v>
      </c>
      <c r="O17" s="110" t="s">
        <v>85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/>
      <c r="H18" s="51"/>
      <c r="I18" s="54"/>
      <c r="J18" s="55" t="s">
        <v>84</v>
      </c>
      <c r="K18" s="53"/>
      <c r="L18" s="113">
        <v>100000</v>
      </c>
      <c r="M18" s="111" t="s">
        <v>122</v>
      </c>
      <c r="N18" s="111" t="s">
        <v>96</v>
      </c>
      <c r="O18" s="110" t="s">
        <v>85</v>
      </c>
    </row>
    <row r="19" spans="1:56" ht="18.75" thickBot="1" x14ac:dyDescent="0.3">
      <c r="A19" s="215">
        <v>46158</v>
      </c>
      <c r="B19" s="26" t="s">
        <v>50</v>
      </c>
      <c r="C19" s="218"/>
      <c r="D19" s="217"/>
      <c r="E19" s="50" t="s">
        <v>314</v>
      </c>
      <c r="F19" s="57">
        <v>0.03</v>
      </c>
      <c r="G19" s="58"/>
      <c r="H19" s="51"/>
      <c r="I19" s="54"/>
      <c r="J19" s="55" t="s">
        <v>84</v>
      </c>
      <c r="K19" s="53" t="s">
        <v>140</v>
      </c>
      <c r="L19" s="113">
        <v>100000</v>
      </c>
      <c r="M19" s="111" t="s">
        <v>122</v>
      </c>
      <c r="N19" s="111" t="s">
        <v>96</v>
      </c>
      <c r="O19" s="110" t="s">
        <v>85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>
        <v>0.03</v>
      </c>
      <c r="H20" s="51"/>
      <c r="I20" s="54"/>
      <c r="J20" s="55" t="s">
        <v>84</v>
      </c>
      <c r="K20" s="56"/>
      <c r="L20" s="113">
        <v>100000</v>
      </c>
      <c r="M20" s="111" t="s">
        <v>122</v>
      </c>
      <c r="N20" s="111" t="s">
        <v>96</v>
      </c>
      <c r="O20" s="110" t="s">
        <v>85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13">
        <v>100000</v>
      </c>
      <c r="M21" s="111" t="s">
        <v>122</v>
      </c>
      <c r="N21" s="111" t="s">
        <v>96</v>
      </c>
      <c r="O21" s="110" t="s">
        <v>85</v>
      </c>
    </row>
    <row r="22" spans="1:56" ht="18.75" thickBot="1" x14ac:dyDescent="0.3">
      <c r="A22" s="215">
        <f>A19+1</f>
        <v>46159</v>
      </c>
      <c r="B22" s="26" t="s">
        <v>50</v>
      </c>
      <c r="C22" s="216">
        <v>15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6"/>
      <c r="L22" s="113">
        <v>100000</v>
      </c>
      <c r="M22" s="111" t="s">
        <v>122</v>
      </c>
      <c r="N22" s="111" t="s">
        <v>96</v>
      </c>
      <c r="O22" s="110" t="s">
        <v>85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13">
        <v>100000</v>
      </c>
      <c r="M23" s="111" t="s">
        <v>122</v>
      </c>
      <c r="N23" s="111" t="s">
        <v>96</v>
      </c>
      <c r="O23" s="110" t="s">
        <v>85</v>
      </c>
    </row>
    <row r="24" spans="1:56" ht="18.75" thickBot="1" x14ac:dyDescent="0.3">
      <c r="A24" s="215">
        <f>A22+1</f>
        <v>46160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13">
        <v>100000</v>
      </c>
      <c r="M24" s="111" t="s">
        <v>122</v>
      </c>
      <c r="N24" s="111" t="s">
        <v>96</v>
      </c>
      <c r="O24" s="110" t="s">
        <v>85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13">
        <v>100000</v>
      </c>
      <c r="M25" s="111" t="s">
        <v>122</v>
      </c>
      <c r="N25" s="111" t="s">
        <v>96</v>
      </c>
      <c r="O25" s="110" t="s">
        <v>85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46161</v>
      </c>
      <c r="B27" s="26" t="s">
        <v>50</v>
      </c>
      <c r="C27" s="222">
        <v>15</v>
      </c>
      <c r="D27" s="222">
        <v>14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13">
        <v>100000</v>
      </c>
      <c r="M27" s="111" t="s">
        <v>122</v>
      </c>
      <c r="N27" s="111" t="s">
        <v>96</v>
      </c>
      <c r="O27" s="110" t="s">
        <v>85</v>
      </c>
      <c r="P27" s="39">
        <v>93000</v>
      </c>
      <c r="Q27" s="40">
        <f>P27/L27</f>
        <v>0.93</v>
      </c>
      <c r="R27" s="40"/>
      <c r="S27" s="40"/>
      <c r="T27" s="41">
        <v>6</v>
      </c>
      <c r="U27" s="41">
        <v>6</v>
      </c>
      <c r="V27" s="41">
        <v>6</v>
      </c>
      <c r="W27" s="41">
        <v>6</v>
      </c>
      <c r="X27" s="41">
        <v>6</v>
      </c>
      <c r="Y27" s="41">
        <v>6</v>
      </c>
      <c r="Z27" s="41">
        <v>6</v>
      </c>
      <c r="AA27" s="41">
        <v>6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6.7333333333333334</v>
      </c>
      <c r="AY27" s="43">
        <f t="shared" ref="AY27:AY33" si="0">IF(AW27&gt;0,STDEV(T27:AW27),"")</f>
        <v>0.44977644510880332</v>
      </c>
      <c r="AZ27" s="42">
        <f>IF(AW27&gt;0,AY27/AX27*100,"")</f>
        <v>6.6798481946851975</v>
      </c>
      <c r="BA27" s="44" t="s">
        <v>67</v>
      </c>
      <c r="BB27" s="45"/>
      <c r="BC27" s="46"/>
      <c r="BD27" s="47">
        <f t="shared" ref="BD27:BD33" si="1">IF(AW27&gt;0,100-AZ27,"")</f>
        <v>93.320151805314808</v>
      </c>
    </row>
    <row r="28" spans="1:56" ht="18.75" thickBot="1" x14ac:dyDescent="0.3">
      <c r="A28" s="38">
        <f>A27+1</f>
        <v>46162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13">
        <v>100000</v>
      </c>
      <c r="M28" s="111" t="s">
        <v>122</v>
      </c>
      <c r="N28" s="111" t="s">
        <v>96</v>
      </c>
      <c r="O28" s="110" t="s">
        <v>85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8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7.5666666666666664</v>
      </c>
      <c r="AY28" s="43">
        <f t="shared" si="0"/>
        <v>0.50400693299373078</v>
      </c>
      <c r="AZ28" s="42">
        <f t="shared" ref="AZ28:AZ33" si="3">IF(AW28&gt;0,AY28/AX28*100,"")</f>
        <v>6.6608845770096581</v>
      </c>
      <c r="BA28" s="44" t="s">
        <v>68</v>
      </c>
      <c r="BB28" s="45"/>
      <c r="BC28" s="46"/>
      <c r="BD28" s="47">
        <f t="shared" si="1"/>
        <v>93.339115422990346</v>
      </c>
    </row>
    <row r="29" spans="1:56" ht="18.75" thickBot="1" x14ac:dyDescent="0.3">
      <c r="A29" s="38">
        <f t="shared" ref="A29:A33" si="4">A28+1</f>
        <v>46163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13">
        <v>100000</v>
      </c>
      <c r="M29" s="111" t="s">
        <v>122</v>
      </c>
      <c r="N29" s="111" t="s">
        <v>96</v>
      </c>
      <c r="O29" s="110" t="s">
        <v>85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9</v>
      </c>
      <c r="AR29" s="41">
        <v>9</v>
      </c>
      <c r="AS29" s="41">
        <v>9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si="2"/>
        <v>8.2333333333333325</v>
      </c>
      <c r="AY29" s="43">
        <f t="shared" si="0"/>
        <v>0.43018306715207638</v>
      </c>
      <c r="AZ29" s="42">
        <f t="shared" si="3"/>
        <v>5.2248955524543694</v>
      </c>
      <c r="BA29" s="44" t="s">
        <v>69</v>
      </c>
      <c r="BB29" s="45"/>
      <c r="BC29" s="46"/>
      <c r="BD29" s="47">
        <f t="shared" si="1"/>
        <v>94.77510444754563</v>
      </c>
    </row>
    <row r="30" spans="1:56" ht="18.75" thickBot="1" x14ac:dyDescent="0.3">
      <c r="A30" s="38">
        <f t="shared" si="4"/>
        <v>46164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13">
        <v>100000</v>
      </c>
      <c r="M30" s="111" t="s">
        <v>122</v>
      </c>
      <c r="N30" s="111" t="s">
        <v>96</v>
      </c>
      <c r="O30" s="110" t="s">
        <v>85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8.6666666666666661</v>
      </c>
      <c r="AY30" s="43">
        <f t="shared" si="0"/>
        <v>0.47946330148538424</v>
      </c>
      <c r="AZ30" s="42">
        <f t="shared" si="3"/>
        <v>5.5322688632928951</v>
      </c>
      <c r="BA30" s="44" t="s">
        <v>70</v>
      </c>
      <c r="BB30" s="48"/>
      <c r="BC30" s="46"/>
      <c r="BD30" s="47">
        <f t="shared" si="1"/>
        <v>94.467731136707101</v>
      </c>
    </row>
    <row r="31" spans="1:56" ht="18.75" thickBot="1" x14ac:dyDescent="0.3">
      <c r="A31" s="38">
        <f t="shared" si="4"/>
        <v>46165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13">
        <v>100000</v>
      </c>
      <c r="M31" s="111" t="s">
        <v>122</v>
      </c>
      <c r="N31" s="111" t="s">
        <v>96</v>
      </c>
      <c r="O31" s="110" t="s">
        <v>85</v>
      </c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10</v>
      </c>
      <c r="AJ31" s="41">
        <v>10</v>
      </c>
      <c r="AK31" s="41">
        <v>10</v>
      </c>
      <c r="AL31" s="41">
        <v>10</v>
      </c>
      <c r="AM31" s="41">
        <v>10</v>
      </c>
      <c r="AN31" s="41">
        <v>10</v>
      </c>
      <c r="AO31" s="41">
        <v>10</v>
      </c>
      <c r="AP31" s="41">
        <v>10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2"/>
        <v>9.5</v>
      </c>
      <c r="AY31" s="43">
        <f t="shared" si="0"/>
        <v>0.5085476277156078</v>
      </c>
      <c r="AZ31" s="42">
        <f t="shared" si="3"/>
        <v>5.3531329233221872</v>
      </c>
      <c r="BA31" s="44" t="s">
        <v>71</v>
      </c>
      <c r="BB31" s="48"/>
      <c r="BC31" s="49"/>
      <c r="BD31" s="47">
        <f t="shared" si="1"/>
        <v>94.646867076677808</v>
      </c>
    </row>
    <row r="32" spans="1:56" ht="18.75" thickBot="1" x14ac:dyDescent="0.3">
      <c r="A32" s="38">
        <f t="shared" si="4"/>
        <v>46166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13">
        <v>100000</v>
      </c>
      <c r="M32" s="111" t="s">
        <v>122</v>
      </c>
      <c r="N32" s="111" t="s">
        <v>96</v>
      </c>
      <c r="O32" s="110" t="s">
        <v>85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10</v>
      </c>
      <c r="AC32" s="41">
        <v>10</v>
      </c>
      <c r="AD32" s="41">
        <v>10</v>
      </c>
      <c r="AE32" s="41">
        <v>10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11</v>
      </c>
      <c r="AV32" s="41">
        <v>11</v>
      </c>
      <c r="AW32" s="41">
        <v>11</v>
      </c>
      <c r="AX32" s="42">
        <f t="shared" si="2"/>
        <v>9.8333333333333339</v>
      </c>
      <c r="AY32" s="43">
        <f t="shared" si="0"/>
        <v>0.59209349991675997</v>
      </c>
      <c r="AZ32" s="42">
        <f t="shared" si="3"/>
        <v>6.0212898296619652</v>
      </c>
      <c r="BA32" s="44" t="s">
        <v>72</v>
      </c>
      <c r="BB32" s="48"/>
      <c r="BC32" s="49"/>
      <c r="BD32" s="47">
        <f t="shared" si="1"/>
        <v>93.978710170338033</v>
      </c>
    </row>
    <row r="33" spans="1:56" ht="18.75" thickBot="1" x14ac:dyDescent="0.3">
      <c r="A33" s="38">
        <f t="shared" si="4"/>
        <v>46167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13">
        <v>100000</v>
      </c>
      <c r="M33" s="111" t="s">
        <v>122</v>
      </c>
      <c r="N33" s="111" t="s">
        <v>96</v>
      </c>
      <c r="O33" s="110" t="s">
        <v>85</v>
      </c>
      <c r="P33" s="40"/>
      <c r="Q33" s="40"/>
      <c r="R33" s="39">
        <v>105850</v>
      </c>
      <c r="S33" s="40">
        <f>R33/L33</f>
        <v>1.0585</v>
      </c>
      <c r="T33" s="41">
        <v>9</v>
      </c>
      <c r="U33" s="41">
        <v>9</v>
      </c>
      <c r="V33" s="41">
        <v>9</v>
      </c>
      <c r="W33" s="41">
        <v>9</v>
      </c>
      <c r="X33" s="41">
        <v>10</v>
      </c>
      <c r="Y33" s="41">
        <v>10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11</v>
      </c>
      <c r="AO33" s="41">
        <v>11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10.199999999999999</v>
      </c>
      <c r="AY33" s="43">
        <f t="shared" si="0"/>
        <v>0.66436383882991978</v>
      </c>
      <c r="AZ33" s="42">
        <f t="shared" si="3"/>
        <v>6.5133709689207828</v>
      </c>
      <c r="BA33" s="44" t="s">
        <v>73</v>
      </c>
      <c r="BB33" s="48"/>
      <c r="BC33" s="49"/>
      <c r="BD33" s="47">
        <f t="shared" si="1"/>
        <v>93.486629031079218</v>
      </c>
    </row>
  </sheetData>
  <mergeCells count="30"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</mergeCells>
  <pageMargins left="0.7" right="0.7" top="0.75" bottom="0.75" header="0.3" footer="0.3"/>
  <pageSetup paperSize="9" orientation="landscape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6A50-9387-45C1-AE3E-66567A7FBAF9}">
  <dimension ref="A1:BD33"/>
  <sheetViews>
    <sheetView topLeftCell="J10" zoomScale="60" zoomScaleNormal="60" workbookViewId="0">
      <selection activeCell="AP33" sqref="AP33:AU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46150</v>
      </c>
      <c r="B3" s="26" t="s">
        <v>50</v>
      </c>
      <c r="C3" s="218">
        <v>16</v>
      </c>
      <c r="D3" s="217"/>
      <c r="E3" s="50"/>
      <c r="F3" s="51"/>
      <c r="G3" s="51"/>
      <c r="H3" s="51"/>
      <c r="I3" s="54"/>
      <c r="J3" s="52"/>
      <c r="K3" s="53"/>
      <c r="L3" s="113">
        <v>100000</v>
      </c>
      <c r="M3" s="111" t="s">
        <v>123</v>
      </c>
      <c r="N3" s="111" t="s">
        <v>124</v>
      </c>
      <c r="O3" s="110" t="s">
        <v>85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161</v>
      </c>
      <c r="J4" s="55" t="s">
        <v>162</v>
      </c>
      <c r="K4" s="56"/>
      <c r="L4" s="113">
        <v>100000</v>
      </c>
      <c r="M4" s="111" t="s">
        <v>123</v>
      </c>
      <c r="N4" s="111" t="s">
        <v>124</v>
      </c>
      <c r="O4" s="110" t="s">
        <v>85</v>
      </c>
    </row>
    <row r="5" spans="1:23" ht="18.75" thickBot="1" x14ac:dyDescent="0.3">
      <c r="A5" s="215">
        <v>46151</v>
      </c>
      <c r="B5" s="26" t="s">
        <v>50</v>
      </c>
      <c r="C5" s="218"/>
      <c r="D5" s="217"/>
      <c r="E5" s="50" t="s">
        <v>83</v>
      </c>
      <c r="F5" s="51"/>
      <c r="G5" s="51">
        <v>0.06</v>
      </c>
      <c r="H5" s="51"/>
      <c r="I5" s="54" t="s">
        <v>177</v>
      </c>
      <c r="J5" s="55" t="s">
        <v>84</v>
      </c>
      <c r="K5" s="56"/>
      <c r="L5" s="113">
        <v>100000</v>
      </c>
      <c r="M5" s="111" t="s">
        <v>123</v>
      </c>
      <c r="N5" s="111" t="s">
        <v>124</v>
      </c>
      <c r="O5" s="110" t="s">
        <v>85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188</v>
      </c>
      <c r="J6" s="55" t="s">
        <v>84</v>
      </c>
      <c r="K6" s="56"/>
      <c r="L6" s="113">
        <v>100000</v>
      </c>
      <c r="M6" s="111" t="s">
        <v>123</v>
      </c>
      <c r="N6" s="111" t="s">
        <v>124</v>
      </c>
      <c r="O6" s="110" t="s">
        <v>85</v>
      </c>
    </row>
    <row r="7" spans="1:23" ht="18.75" thickBot="1" x14ac:dyDescent="0.3">
      <c r="A7" s="215">
        <v>46152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185</v>
      </c>
      <c r="J7" s="55" t="s">
        <v>84</v>
      </c>
      <c r="K7" s="56"/>
      <c r="L7" s="113">
        <v>100000</v>
      </c>
      <c r="M7" s="111" t="s">
        <v>123</v>
      </c>
      <c r="N7" s="111" t="s">
        <v>124</v>
      </c>
      <c r="O7" s="110" t="s">
        <v>85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196</v>
      </c>
      <c r="J8" s="55" t="s">
        <v>84</v>
      </c>
      <c r="K8" s="56"/>
      <c r="L8" s="113">
        <v>100000</v>
      </c>
      <c r="M8" s="111" t="s">
        <v>123</v>
      </c>
      <c r="N8" s="111" t="s">
        <v>124</v>
      </c>
      <c r="O8" s="110" t="s">
        <v>85</v>
      </c>
    </row>
    <row r="9" spans="1:23" ht="18.75" thickBot="1" x14ac:dyDescent="0.3">
      <c r="A9" s="215">
        <v>46153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259</v>
      </c>
      <c r="J9" s="55" t="s">
        <v>84</v>
      </c>
      <c r="K9" s="56"/>
      <c r="L9" s="113">
        <v>100000</v>
      </c>
      <c r="M9" s="111" t="s">
        <v>123</v>
      </c>
      <c r="N9" s="111" t="s">
        <v>124</v>
      </c>
      <c r="O9" s="110" t="s">
        <v>85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262</v>
      </c>
      <c r="J10" s="55" t="s">
        <v>84</v>
      </c>
      <c r="K10" s="56"/>
      <c r="L10" s="113">
        <v>100000</v>
      </c>
      <c r="M10" s="111" t="s">
        <v>123</v>
      </c>
      <c r="N10" s="111" t="s">
        <v>124</v>
      </c>
      <c r="O10" s="110" t="s">
        <v>85</v>
      </c>
    </row>
    <row r="11" spans="1:23" ht="18.75" thickBot="1" x14ac:dyDescent="0.3">
      <c r="A11" s="215">
        <v>46154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276</v>
      </c>
      <c r="J11" s="55" t="s">
        <v>84</v>
      </c>
      <c r="K11" s="56"/>
      <c r="L11" s="113">
        <v>100000</v>
      </c>
      <c r="M11" s="111" t="s">
        <v>123</v>
      </c>
      <c r="N11" s="111" t="s">
        <v>124</v>
      </c>
      <c r="O11" s="110" t="s">
        <v>85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291</v>
      </c>
      <c r="J12" s="55" t="s">
        <v>84</v>
      </c>
      <c r="K12" s="56"/>
      <c r="L12" s="113">
        <v>100000</v>
      </c>
      <c r="M12" s="111" t="s">
        <v>123</v>
      </c>
      <c r="N12" s="111" t="s">
        <v>124</v>
      </c>
      <c r="O12" s="110" t="s">
        <v>85</v>
      </c>
      <c r="W12" t="s">
        <v>63</v>
      </c>
    </row>
    <row r="13" spans="1:23" ht="18.75" thickBot="1" x14ac:dyDescent="0.3">
      <c r="A13" s="215">
        <v>46155</v>
      </c>
      <c r="B13" s="26" t="s">
        <v>50</v>
      </c>
      <c r="C13" s="218"/>
      <c r="D13" s="217"/>
      <c r="E13" s="50" t="s">
        <v>303</v>
      </c>
      <c r="F13" s="57"/>
      <c r="G13" s="51"/>
      <c r="H13" s="51"/>
      <c r="I13" s="54"/>
      <c r="J13" s="55" t="s">
        <v>84</v>
      </c>
      <c r="K13" s="56"/>
      <c r="L13" s="113">
        <v>100000</v>
      </c>
      <c r="M13" s="111" t="s">
        <v>123</v>
      </c>
      <c r="N13" s="111" t="s">
        <v>124</v>
      </c>
      <c r="O13" s="110" t="s">
        <v>85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288</v>
      </c>
      <c r="F14" s="57"/>
      <c r="G14" s="51"/>
      <c r="H14" s="51"/>
      <c r="I14" s="54"/>
      <c r="J14" s="55" t="s">
        <v>84</v>
      </c>
      <c r="K14" s="56"/>
      <c r="L14" s="113">
        <v>100000</v>
      </c>
      <c r="M14" s="111" t="s">
        <v>123</v>
      </c>
      <c r="N14" s="111" t="s">
        <v>124</v>
      </c>
      <c r="O14" s="110" t="s">
        <v>85</v>
      </c>
    </row>
    <row r="15" spans="1:23" ht="18.75" thickBot="1" x14ac:dyDescent="0.3">
      <c r="A15" s="215">
        <v>46156</v>
      </c>
      <c r="B15" s="26" t="s">
        <v>50</v>
      </c>
      <c r="C15" s="218"/>
      <c r="D15" s="217"/>
      <c r="E15" s="50" t="s">
        <v>316</v>
      </c>
      <c r="F15" s="57"/>
      <c r="G15" s="58"/>
      <c r="H15" s="51"/>
      <c r="I15" s="54"/>
      <c r="J15" s="55" t="s">
        <v>84</v>
      </c>
      <c r="K15" s="56"/>
      <c r="L15" s="113">
        <v>100000</v>
      </c>
      <c r="M15" s="111" t="s">
        <v>123</v>
      </c>
      <c r="N15" s="111" t="s">
        <v>124</v>
      </c>
      <c r="O15" s="110" t="s">
        <v>85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308</v>
      </c>
      <c r="F16" s="57"/>
      <c r="G16" s="58"/>
      <c r="H16" s="51"/>
      <c r="I16" s="54"/>
      <c r="J16" s="55" t="s">
        <v>84</v>
      </c>
      <c r="K16" s="56"/>
      <c r="L16" s="113">
        <v>100000</v>
      </c>
      <c r="M16" s="111" t="s">
        <v>123</v>
      </c>
      <c r="N16" s="111" t="s">
        <v>124</v>
      </c>
      <c r="O16" s="110" t="s">
        <v>85</v>
      </c>
    </row>
    <row r="17" spans="1:56" ht="18.75" thickBot="1" x14ac:dyDescent="0.3">
      <c r="A17" s="215">
        <v>46157</v>
      </c>
      <c r="B17" s="26" t="s">
        <v>50</v>
      </c>
      <c r="C17" s="218"/>
      <c r="D17" s="217"/>
      <c r="E17" s="50" t="s">
        <v>314</v>
      </c>
      <c r="F17" s="57"/>
      <c r="G17" s="58"/>
      <c r="H17" s="51"/>
      <c r="I17" s="54"/>
      <c r="J17" s="55" t="s">
        <v>84</v>
      </c>
      <c r="K17" s="56"/>
      <c r="L17" s="113">
        <v>100000</v>
      </c>
      <c r="M17" s="111" t="s">
        <v>123</v>
      </c>
      <c r="N17" s="111" t="s">
        <v>124</v>
      </c>
      <c r="O17" s="110" t="s">
        <v>85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>
        <v>0.03</v>
      </c>
      <c r="H18" s="51"/>
      <c r="I18" s="54"/>
      <c r="J18" s="55" t="s">
        <v>84</v>
      </c>
      <c r="K18" s="53"/>
      <c r="L18" s="113">
        <v>100000</v>
      </c>
      <c r="M18" s="111" t="s">
        <v>123</v>
      </c>
      <c r="N18" s="111" t="s">
        <v>124</v>
      </c>
      <c r="O18" s="110" t="s">
        <v>85</v>
      </c>
    </row>
    <row r="19" spans="1:56" ht="18.75" thickBot="1" x14ac:dyDescent="0.3">
      <c r="A19" s="215">
        <v>46158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3"/>
      <c r="L19" s="113">
        <v>100000</v>
      </c>
      <c r="M19" s="111" t="s">
        <v>123</v>
      </c>
      <c r="N19" s="111" t="s">
        <v>124</v>
      </c>
      <c r="O19" s="110" t="s">
        <v>85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/>
      <c r="L20" s="113">
        <v>100000</v>
      </c>
      <c r="M20" s="111" t="s">
        <v>123</v>
      </c>
      <c r="N20" s="111" t="s">
        <v>124</v>
      </c>
      <c r="O20" s="110" t="s">
        <v>85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13">
        <v>100000</v>
      </c>
      <c r="M21" s="111" t="s">
        <v>123</v>
      </c>
      <c r="N21" s="111" t="s">
        <v>124</v>
      </c>
      <c r="O21" s="110" t="s">
        <v>85</v>
      </c>
    </row>
    <row r="22" spans="1:56" ht="18.75" thickBot="1" x14ac:dyDescent="0.3">
      <c r="A22" s="215">
        <f>A19+1</f>
        <v>46159</v>
      </c>
      <c r="B22" s="26" t="s">
        <v>50</v>
      </c>
      <c r="C22" s="216">
        <v>16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6"/>
      <c r="L22" s="113">
        <v>100000</v>
      </c>
      <c r="M22" s="111" t="s">
        <v>123</v>
      </c>
      <c r="N22" s="111" t="s">
        <v>124</v>
      </c>
      <c r="O22" s="110" t="s">
        <v>85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13">
        <v>100000</v>
      </c>
      <c r="M23" s="111" t="s">
        <v>123</v>
      </c>
      <c r="N23" s="111" t="s">
        <v>124</v>
      </c>
      <c r="O23" s="110" t="s">
        <v>85</v>
      </c>
    </row>
    <row r="24" spans="1:56" ht="18.75" thickBot="1" x14ac:dyDescent="0.3">
      <c r="A24" s="215">
        <f>A22+1</f>
        <v>46160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13">
        <v>100000</v>
      </c>
      <c r="M24" s="111" t="s">
        <v>123</v>
      </c>
      <c r="N24" s="111" t="s">
        <v>124</v>
      </c>
      <c r="O24" s="110" t="s">
        <v>85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13">
        <v>100000</v>
      </c>
      <c r="M25" s="111" t="s">
        <v>123</v>
      </c>
      <c r="N25" s="111" t="s">
        <v>124</v>
      </c>
      <c r="O25" s="110" t="s">
        <v>85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46161</v>
      </c>
      <c r="B27" s="26" t="s">
        <v>50</v>
      </c>
      <c r="C27" s="222">
        <v>16</v>
      </c>
      <c r="D27" s="222">
        <v>15</v>
      </c>
      <c r="E27" s="219" t="s">
        <v>67</v>
      </c>
      <c r="F27" s="220"/>
      <c r="G27" s="51"/>
      <c r="H27" s="51">
        <v>0.03</v>
      </c>
      <c r="I27" s="51"/>
      <c r="J27" s="55" t="s">
        <v>84</v>
      </c>
      <c r="K27" s="56"/>
      <c r="L27" s="113">
        <v>100000</v>
      </c>
      <c r="M27" s="111" t="s">
        <v>123</v>
      </c>
      <c r="N27" s="111" t="s">
        <v>124</v>
      </c>
      <c r="O27" s="110" t="s">
        <v>85</v>
      </c>
      <c r="P27" s="39">
        <v>91500</v>
      </c>
      <c r="Q27" s="40">
        <f>P27/L27</f>
        <v>0.91500000000000004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8</v>
      </c>
      <c r="AT27" s="41">
        <v>8</v>
      </c>
      <c r="AU27" s="41">
        <v>8</v>
      </c>
      <c r="AV27" s="41">
        <v>8</v>
      </c>
      <c r="AW27" s="41">
        <v>8</v>
      </c>
      <c r="AX27" s="42">
        <f>IF(AW27&gt;0,AVERAGE(T27:AW27),"")</f>
        <v>7.166666666666667</v>
      </c>
      <c r="AY27" s="43">
        <f t="shared" ref="AY27:AY33" si="0">IF(AW27&gt;0,STDEV(T27:AW27),"")</f>
        <v>0.37904902178945171</v>
      </c>
      <c r="AZ27" s="42">
        <f>IF(AW27&gt;0,AY27/AX27*100,"")</f>
        <v>5.2890561179923496</v>
      </c>
      <c r="BA27" s="44" t="s">
        <v>67</v>
      </c>
      <c r="BB27" s="45"/>
      <c r="BC27" s="46"/>
      <c r="BD27" s="47">
        <f t="shared" ref="BD27:BD33" si="1">IF(AW27&gt;0,100-AZ27,"")</f>
        <v>94.710943882007655</v>
      </c>
    </row>
    <row r="28" spans="1:56" ht="18.75" thickBot="1" x14ac:dyDescent="0.3">
      <c r="A28" s="38">
        <f>A27+1</f>
        <v>46162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13">
        <v>100000</v>
      </c>
      <c r="M28" s="111" t="s">
        <v>123</v>
      </c>
      <c r="N28" s="111" t="s">
        <v>124</v>
      </c>
      <c r="O28" s="110" t="s">
        <v>85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7.5</v>
      </c>
      <c r="AY28" s="43">
        <f t="shared" si="0"/>
        <v>0.5085476277156078</v>
      </c>
      <c r="AZ28" s="42">
        <f t="shared" ref="AZ28:AZ33" si="3">IF(AW28&gt;0,AY28/AX28*100,"")</f>
        <v>6.7806350362081034</v>
      </c>
      <c r="BA28" s="44" t="s">
        <v>68</v>
      </c>
      <c r="BB28" s="45"/>
      <c r="BC28" s="46"/>
      <c r="BD28" s="47">
        <f t="shared" si="1"/>
        <v>93.21936496379189</v>
      </c>
    </row>
    <row r="29" spans="1:56" ht="18.75" thickBot="1" x14ac:dyDescent="0.3">
      <c r="A29" s="38">
        <f t="shared" ref="A29:A33" si="4">A28+1</f>
        <v>46163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13">
        <v>100000</v>
      </c>
      <c r="M29" s="111" t="s">
        <v>123</v>
      </c>
      <c r="N29" s="111" t="s">
        <v>124</v>
      </c>
      <c r="O29" s="110" t="s">
        <v>85</v>
      </c>
      <c r="P29" s="40"/>
      <c r="Q29" s="40"/>
      <c r="R29" s="40"/>
      <c r="S29" s="40"/>
      <c r="T29" s="41">
        <v>7</v>
      </c>
      <c r="U29" s="41">
        <v>7</v>
      </c>
      <c r="V29" s="41">
        <v>7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si="2"/>
        <v>8.0333333333333332</v>
      </c>
      <c r="AY29" s="43">
        <f t="shared" si="0"/>
        <v>0.49013251785356116</v>
      </c>
      <c r="AZ29" s="42">
        <f t="shared" si="3"/>
        <v>6.1012346620775242</v>
      </c>
      <c r="BA29" s="44" t="s">
        <v>69</v>
      </c>
      <c r="BB29" s="45"/>
      <c r="BC29" s="46"/>
      <c r="BD29" s="47">
        <f t="shared" si="1"/>
        <v>93.89876533792247</v>
      </c>
    </row>
    <row r="30" spans="1:56" ht="18.75" thickBot="1" x14ac:dyDescent="0.3">
      <c r="A30" s="38">
        <f t="shared" si="4"/>
        <v>46164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13">
        <v>100000</v>
      </c>
      <c r="M30" s="111" t="s">
        <v>123</v>
      </c>
      <c r="N30" s="111" t="s">
        <v>124</v>
      </c>
      <c r="O30" s="110" t="s">
        <v>85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9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8.7333333333333325</v>
      </c>
      <c r="AY30" s="43">
        <f t="shared" si="0"/>
        <v>0.44977644510880366</v>
      </c>
      <c r="AZ30" s="42">
        <f t="shared" si="3"/>
        <v>5.1501119668946984</v>
      </c>
      <c r="BA30" s="44" t="s">
        <v>70</v>
      </c>
      <c r="BB30" s="48"/>
      <c r="BC30" s="46"/>
      <c r="BD30" s="47">
        <f t="shared" si="1"/>
        <v>94.849888033105302</v>
      </c>
    </row>
    <row r="31" spans="1:56" ht="18.75" thickBot="1" x14ac:dyDescent="0.3">
      <c r="A31" s="38">
        <f t="shared" si="4"/>
        <v>46165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13">
        <v>100000</v>
      </c>
      <c r="M31" s="111" t="s">
        <v>123</v>
      </c>
      <c r="N31" s="111" t="s">
        <v>124</v>
      </c>
      <c r="O31" s="110" t="s">
        <v>85</v>
      </c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10</v>
      </c>
      <c r="AO31" s="41">
        <v>10</v>
      </c>
      <c r="AP31" s="41">
        <v>10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2"/>
        <v>9.3333333333333339</v>
      </c>
      <c r="AY31" s="43">
        <f t="shared" si="0"/>
        <v>0.47946330148538424</v>
      </c>
      <c r="AZ31" s="42">
        <f t="shared" si="3"/>
        <v>5.137106801629117</v>
      </c>
      <c r="BA31" s="44" t="s">
        <v>71</v>
      </c>
      <c r="BB31" s="48"/>
      <c r="BC31" s="49"/>
      <c r="BD31" s="47">
        <f t="shared" si="1"/>
        <v>94.862893198370884</v>
      </c>
    </row>
    <row r="32" spans="1:56" ht="18.75" thickBot="1" x14ac:dyDescent="0.3">
      <c r="A32" s="38">
        <f t="shared" si="4"/>
        <v>46166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13">
        <v>100000</v>
      </c>
      <c r="M32" s="111" t="s">
        <v>123</v>
      </c>
      <c r="N32" s="111" t="s">
        <v>124</v>
      </c>
      <c r="O32" s="110" t="s">
        <v>85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10</v>
      </c>
      <c r="AE32" s="41">
        <v>10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11</v>
      </c>
      <c r="AU32" s="41">
        <v>11</v>
      </c>
      <c r="AV32" s="41">
        <v>11</v>
      </c>
      <c r="AW32" s="41">
        <v>11</v>
      </c>
      <c r="AX32" s="42">
        <f t="shared" si="2"/>
        <v>9.8000000000000007</v>
      </c>
      <c r="AY32" s="43">
        <f t="shared" si="0"/>
        <v>0.66436383882991989</v>
      </c>
      <c r="AZ32" s="42">
        <f t="shared" si="3"/>
        <v>6.7792228452032646</v>
      </c>
      <c r="BA32" s="44" t="s">
        <v>72</v>
      </c>
      <c r="BB32" s="48"/>
      <c r="BC32" s="49"/>
      <c r="BD32" s="47">
        <f t="shared" si="1"/>
        <v>93.220777154796735</v>
      </c>
    </row>
    <row r="33" spans="1:56" ht="18.75" thickBot="1" x14ac:dyDescent="0.3">
      <c r="A33" s="38">
        <f t="shared" si="4"/>
        <v>46167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13">
        <v>100000</v>
      </c>
      <c r="M33" s="111" t="s">
        <v>123</v>
      </c>
      <c r="N33" s="111" t="s">
        <v>124</v>
      </c>
      <c r="O33" s="110" t="s">
        <v>85</v>
      </c>
      <c r="P33" s="40"/>
      <c r="Q33" s="40"/>
      <c r="R33" s="39">
        <v>99750</v>
      </c>
      <c r="S33" s="40">
        <f>R33/L33</f>
        <v>0.99750000000000005</v>
      </c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10.033333333333333</v>
      </c>
      <c r="AY33" s="43">
        <f t="shared" si="0"/>
        <v>0.71839540228413812</v>
      </c>
      <c r="AZ33" s="42">
        <f t="shared" si="3"/>
        <v>7.1600870659548645</v>
      </c>
      <c r="BA33" s="44" t="s">
        <v>73</v>
      </c>
      <c r="BB33" s="48"/>
      <c r="BC33" s="49"/>
      <c r="BD33" s="47">
        <f t="shared" si="1"/>
        <v>92.839912934045131</v>
      </c>
    </row>
  </sheetData>
  <mergeCells count="30"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</mergeCells>
  <pageMargins left="0.7" right="0.7" top="0.75" bottom="0.75" header="0.3" footer="0.3"/>
  <pageSetup paperSize="9" orientation="landscape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AC6E-C1A2-4530-8C39-3D68EFF02F67}">
  <dimension ref="A1:BD33"/>
  <sheetViews>
    <sheetView topLeftCell="J18" zoomScale="60" zoomScaleNormal="60" workbookViewId="0">
      <selection activeCell="AQ33" sqref="AQ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46150</v>
      </c>
      <c r="B3" s="26" t="s">
        <v>50</v>
      </c>
      <c r="C3" s="218">
        <v>17</v>
      </c>
      <c r="D3" s="217"/>
      <c r="E3" s="50"/>
      <c r="F3" s="51"/>
      <c r="G3" s="51"/>
      <c r="H3" s="51"/>
      <c r="I3" s="54"/>
      <c r="J3" s="52"/>
      <c r="K3" s="53"/>
      <c r="L3" s="113">
        <v>100000</v>
      </c>
      <c r="M3" s="111" t="s">
        <v>125</v>
      </c>
      <c r="N3" s="111" t="s">
        <v>124</v>
      </c>
      <c r="O3" s="110" t="s">
        <v>85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163</v>
      </c>
      <c r="J4" s="55" t="s">
        <v>164</v>
      </c>
      <c r="K4" s="56"/>
      <c r="L4" s="113">
        <v>100000</v>
      </c>
      <c r="M4" s="111" t="s">
        <v>125</v>
      </c>
      <c r="N4" s="111" t="s">
        <v>124</v>
      </c>
      <c r="O4" s="110" t="s">
        <v>85</v>
      </c>
    </row>
    <row r="5" spans="1:23" ht="18.75" thickBot="1" x14ac:dyDescent="0.3">
      <c r="A5" s="215">
        <v>46151</v>
      </c>
      <c r="B5" s="26" t="s">
        <v>50</v>
      </c>
      <c r="C5" s="218"/>
      <c r="D5" s="217"/>
      <c r="E5" s="50" t="s">
        <v>83</v>
      </c>
      <c r="F5" s="51"/>
      <c r="G5" s="51">
        <v>0.02</v>
      </c>
      <c r="H5" s="51"/>
      <c r="I5" s="54" t="s">
        <v>175</v>
      </c>
      <c r="J5" s="55" t="s">
        <v>84</v>
      </c>
      <c r="K5" s="56"/>
      <c r="L5" s="113">
        <v>100000</v>
      </c>
      <c r="M5" s="111" t="s">
        <v>125</v>
      </c>
      <c r="N5" s="111" t="s">
        <v>124</v>
      </c>
      <c r="O5" s="110" t="s">
        <v>85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>
        <v>0.03</v>
      </c>
      <c r="H6" s="51"/>
      <c r="I6" s="54" t="s">
        <v>173</v>
      </c>
      <c r="J6" s="55" t="s">
        <v>84</v>
      </c>
      <c r="K6" s="56"/>
      <c r="L6" s="113">
        <v>100000</v>
      </c>
      <c r="M6" s="111" t="s">
        <v>125</v>
      </c>
      <c r="N6" s="111" t="s">
        <v>124</v>
      </c>
      <c r="O6" s="110" t="s">
        <v>85</v>
      </c>
    </row>
    <row r="7" spans="1:23" ht="18.75" thickBot="1" x14ac:dyDescent="0.3">
      <c r="A7" s="215">
        <v>46152</v>
      </c>
      <c r="B7" s="26" t="s">
        <v>50</v>
      </c>
      <c r="C7" s="218"/>
      <c r="D7" s="217"/>
      <c r="E7" s="50" t="s">
        <v>167</v>
      </c>
      <c r="F7" s="51"/>
      <c r="G7" s="51">
        <v>0.06</v>
      </c>
      <c r="H7" s="51"/>
      <c r="I7" s="54" t="s">
        <v>208</v>
      </c>
      <c r="J7" s="55" t="s">
        <v>84</v>
      </c>
      <c r="K7" s="56"/>
      <c r="L7" s="113">
        <v>100000</v>
      </c>
      <c r="M7" s="111" t="s">
        <v>125</v>
      </c>
      <c r="N7" s="111" t="s">
        <v>124</v>
      </c>
      <c r="O7" s="110" t="s">
        <v>85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238</v>
      </c>
      <c r="J8" s="55" t="s">
        <v>84</v>
      </c>
      <c r="K8" s="56"/>
      <c r="L8" s="113">
        <v>100000</v>
      </c>
      <c r="M8" s="111" t="s">
        <v>125</v>
      </c>
      <c r="N8" s="111" t="s">
        <v>124</v>
      </c>
      <c r="O8" s="110" t="s">
        <v>85</v>
      </c>
    </row>
    <row r="9" spans="1:23" ht="18.75" thickBot="1" x14ac:dyDescent="0.3">
      <c r="A9" s="215">
        <v>46153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203</v>
      </c>
      <c r="J9" s="55" t="s">
        <v>84</v>
      </c>
      <c r="K9" s="56"/>
      <c r="L9" s="113">
        <v>100000</v>
      </c>
      <c r="M9" s="111" t="s">
        <v>125</v>
      </c>
      <c r="N9" s="111" t="s">
        <v>124</v>
      </c>
      <c r="O9" s="110" t="s">
        <v>85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188</v>
      </c>
      <c r="J10" s="55" t="s">
        <v>84</v>
      </c>
      <c r="K10" s="56"/>
      <c r="L10" s="113">
        <v>100000</v>
      </c>
      <c r="M10" s="111" t="s">
        <v>125</v>
      </c>
      <c r="N10" s="111" t="s">
        <v>124</v>
      </c>
      <c r="O10" s="110" t="s">
        <v>85</v>
      </c>
    </row>
    <row r="11" spans="1:23" ht="18.75" thickBot="1" x14ac:dyDescent="0.3">
      <c r="A11" s="215">
        <v>46154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264</v>
      </c>
      <c r="J11" s="55" t="s">
        <v>84</v>
      </c>
      <c r="K11" s="56"/>
      <c r="L11" s="113">
        <v>100000</v>
      </c>
      <c r="M11" s="111" t="s">
        <v>125</v>
      </c>
      <c r="N11" s="111" t="s">
        <v>124</v>
      </c>
      <c r="O11" s="110" t="s">
        <v>85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292</v>
      </c>
      <c r="J12" s="55" t="s">
        <v>84</v>
      </c>
      <c r="K12" s="56"/>
      <c r="L12" s="113">
        <v>100000</v>
      </c>
      <c r="M12" s="111" t="s">
        <v>125</v>
      </c>
      <c r="N12" s="111" t="s">
        <v>124</v>
      </c>
      <c r="O12" s="110" t="s">
        <v>85</v>
      </c>
      <c r="W12" t="s">
        <v>63</v>
      </c>
    </row>
    <row r="13" spans="1:23" ht="18.75" thickBot="1" x14ac:dyDescent="0.3">
      <c r="A13" s="215">
        <v>46155</v>
      </c>
      <c r="B13" s="26" t="s">
        <v>50</v>
      </c>
      <c r="C13" s="218"/>
      <c r="D13" s="217"/>
      <c r="E13" s="50" t="s">
        <v>304</v>
      </c>
      <c r="F13" s="57"/>
      <c r="G13" s="51"/>
      <c r="H13" s="51"/>
      <c r="I13" s="54"/>
      <c r="J13" s="55" t="s">
        <v>84</v>
      </c>
      <c r="K13" s="56"/>
      <c r="L13" s="113">
        <v>100000</v>
      </c>
      <c r="M13" s="111" t="s">
        <v>125</v>
      </c>
      <c r="N13" s="111" t="s">
        <v>124</v>
      </c>
      <c r="O13" s="110" t="s">
        <v>85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284</v>
      </c>
      <c r="F14" s="57"/>
      <c r="G14" s="51"/>
      <c r="H14" s="51"/>
      <c r="I14" s="54"/>
      <c r="J14" s="55" t="s">
        <v>84</v>
      </c>
      <c r="K14" s="56"/>
      <c r="L14" s="113">
        <v>100000</v>
      </c>
      <c r="M14" s="111" t="s">
        <v>125</v>
      </c>
      <c r="N14" s="111" t="s">
        <v>124</v>
      </c>
      <c r="O14" s="110" t="s">
        <v>85</v>
      </c>
    </row>
    <row r="15" spans="1:23" ht="18.75" thickBot="1" x14ac:dyDescent="0.3">
      <c r="A15" s="215">
        <v>46156</v>
      </c>
      <c r="B15" s="26" t="s">
        <v>50</v>
      </c>
      <c r="C15" s="218"/>
      <c r="D15" s="217"/>
      <c r="E15" s="50" t="s">
        <v>317</v>
      </c>
      <c r="F15" s="57"/>
      <c r="G15" s="58"/>
      <c r="H15" s="51"/>
      <c r="I15" s="54"/>
      <c r="J15" s="55" t="s">
        <v>84</v>
      </c>
      <c r="K15" s="56"/>
      <c r="L15" s="113">
        <v>100000</v>
      </c>
      <c r="M15" s="111" t="s">
        <v>125</v>
      </c>
      <c r="N15" s="111" t="s">
        <v>124</v>
      </c>
      <c r="O15" s="110" t="s">
        <v>85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310</v>
      </c>
      <c r="F16" s="57"/>
      <c r="G16" s="58"/>
      <c r="H16" s="51"/>
      <c r="I16" s="54"/>
      <c r="J16" s="55" t="s">
        <v>84</v>
      </c>
      <c r="K16" s="56"/>
      <c r="L16" s="113">
        <v>100000</v>
      </c>
      <c r="M16" s="111" t="s">
        <v>125</v>
      </c>
      <c r="N16" s="111" t="s">
        <v>124</v>
      </c>
      <c r="O16" s="110" t="s">
        <v>85</v>
      </c>
    </row>
    <row r="17" spans="1:56" ht="18.75" thickBot="1" x14ac:dyDescent="0.3">
      <c r="A17" s="215">
        <v>46157</v>
      </c>
      <c r="B17" s="26" t="s">
        <v>50</v>
      </c>
      <c r="C17" s="218"/>
      <c r="D17" s="217"/>
      <c r="E17" s="50" t="s">
        <v>314</v>
      </c>
      <c r="F17" s="57"/>
      <c r="G17" s="58"/>
      <c r="H17" s="51"/>
      <c r="I17" s="54"/>
      <c r="J17" s="55" t="s">
        <v>84</v>
      </c>
      <c r="K17" s="56"/>
      <c r="L17" s="113">
        <v>100000</v>
      </c>
      <c r="M17" s="111" t="s">
        <v>125</v>
      </c>
      <c r="N17" s="111" t="s">
        <v>124</v>
      </c>
      <c r="O17" s="110" t="s">
        <v>85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/>
      <c r="H18" s="51"/>
      <c r="I18" s="54"/>
      <c r="J18" s="55" t="s">
        <v>84</v>
      </c>
      <c r="K18" s="53"/>
      <c r="L18" s="113">
        <v>100000</v>
      </c>
      <c r="M18" s="111" t="s">
        <v>125</v>
      </c>
      <c r="N18" s="111" t="s">
        <v>124</v>
      </c>
      <c r="O18" s="110" t="s">
        <v>85</v>
      </c>
    </row>
    <row r="19" spans="1:56" ht="18.75" thickBot="1" x14ac:dyDescent="0.3">
      <c r="A19" s="215">
        <v>46158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3"/>
      <c r="L19" s="113">
        <v>100000</v>
      </c>
      <c r="M19" s="111" t="s">
        <v>125</v>
      </c>
      <c r="N19" s="111" t="s">
        <v>124</v>
      </c>
      <c r="O19" s="110" t="s">
        <v>85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/>
      <c r="L20" s="113">
        <v>100000</v>
      </c>
      <c r="M20" s="111" t="s">
        <v>125</v>
      </c>
      <c r="N20" s="111" t="s">
        <v>124</v>
      </c>
      <c r="O20" s="110" t="s">
        <v>85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13">
        <v>100000</v>
      </c>
      <c r="M21" s="111" t="s">
        <v>125</v>
      </c>
      <c r="N21" s="111" t="s">
        <v>124</v>
      </c>
      <c r="O21" s="110" t="s">
        <v>85</v>
      </c>
    </row>
    <row r="22" spans="1:56" ht="18.75" thickBot="1" x14ac:dyDescent="0.3">
      <c r="A22" s="215">
        <f>A19+1</f>
        <v>46159</v>
      </c>
      <c r="B22" s="26" t="s">
        <v>50</v>
      </c>
      <c r="C22" s="216">
        <v>17</v>
      </c>
      <c r="D22" s="34"/>
      <c r="E22" s="50" t="s">
        <v>314</v>
      </c>
      <c r="F22" s="57"/>
      <c r="G22" s="58">
        <v>0.03</v>
      </c>
      <c r="H22" s="51"/>
      <c r="I22" s="54"/>
      <c r="J22" s="55" t="s">
        <v>84</v>
      </c>
      <c r="K22" s="56"/>
      <c r="L22" s="113">
        <v>100000</v>
      </c>
      <c r="M22" s="111" t="s">
        <v>125</v>
      </c>
      <c r="N22" s="111" t="s">
        <v>124</v>
      </c>
      <c r="O22" s="110" t="s">
        <v>85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13">
        <v>100000</v>
      </c>
      <c r="M23" s="111" t="s">
        <v>125</v>
      </c>
      <c r="N23" s="111" t="s">
        <v>124</v>
      </c>
      <c r="O23" s="110" t="s">
        <v>85</v>
      </c>
    </row>
    <row r="24" spans="1:56" ht="18.75" thickBot="1" x14ac:dyDescent="0.3">
      <c r="A24" s="215">
        <f>A22+1</f>
        <v>46160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13">
        <v>100000</v>
      </c>
      <c r="M24" s="111" t="s">
        <v>125</v>
      </c>
      <c r="N24" s="111" t="s">
        <v>124</v>
      </c>
      <c r="O24" s="110" t="s">
        <v>85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>
        <v>0.03</v>
      </c>
      <c r="H25" s="51"/>
      <c r="I25" s="54"/>
      <c r="J25" s="55" t="s">
        <v>84</v>
      </c>
      <c r="K25" s="56"/>
      <c r="L25" s="113">
        <v>100000</v>
      </c>
      <c r="M25" s="111" t="s">
        <v>125</v>
      </c>
      <c r="N25" s="111" t="s">
        <v>124</v>
      </c>
      <c r="O25" s="110" t="s">
        <v>85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46161</v>
      </c>
      <c r="B27" s="26" t="s">
        <v>50</v>
      </c>
      <c r="C27" s="222">
        <v>17</v>
      </c>
      <c r="D27" s="222">
        <v>16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13">
        <v>100000</v>
      </c>
      <c r="M27" s="111" t="s">
        <v>125</v>
      </c>
      <c r="N27" s="111" t="s">
        <v>124</v>
      </c>
      <c r="O27" s="110" t="s">
        <v>85</v>
      </c>
      <c r="P27" s="39">
        <v>96500</v>
      </c>
      <c r="Q27" s="40">
        <f>P27/L27</f>
        <v>0.96499999999999997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7</v>
      </c>
      <c r="AY27" s="43">
        <f t="shared" ref="AY27:AY33" si="0">IF(AW27&gt;0,STDEV(T27:AW27),"")</f>
        <v>0</v>
      </c>
      <c r="AZ27" s="42">
        <f>IF(AW27&gt;0,AY27/AX27*100,"")</f>
        <v>0</v>
      </c>
      <c r="BA27" s="44" t="s">
        <v>67</v>
      </c>
      <c r="BB27" s="45"/>
      <c r="BC27" s="46"/>
      <c r="BD27" s="47">
        <f t="shared" ref="BD27:BD33" si="1">IF(AW27&gt;0,100-AZ27,"")</f>
        <v>100</v>
      </c>
    </row>
    <row r="28" spans="1:56" ht="18.75" thickBot="1" x14ac:dyDescent="0.3">
      <c r="A28" s="38">
        <f>A27+1</f>
        <v>46162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13">
        <v>100000</v>
      </c>
      <c r="M28" s="111" t="s">
        <v>125</v>
      </c>
      <c r="N28" s="111" t="s">
        <v>124</v>
      </c>
      <c r="O28" s="110" t="s">
        <v>85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8</v>
      </c>
      <c r="AE28" s="41">
        <v>8</v>
      </c>
      <c r="AF28" s="41">
        <v>8</v>
      </c>
      <c r="AG28" s="41">
        <v>8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7.666666666666667</v>
      </c>
      <c r="AY28" s="43">
        <f t="shared" si="0"/>
        <v>0.47946330148538396</v>
      </c>
      <c r="AZ28" s="42">
        <f t="shared" ref="AZ28:AZ33" si="3">IF(AW28&gt;0,AY28/AX28*100,"")</f>
        <v>6.2538691498093559</v>
      </c>
      <c r="BA28" s="44" t="s">
        <v>68</v>
      </c>
      <c r="BB28" s="45"/>
      <c r="BC28" s="46"/>
      <c r="BD28" s="47">
        <f t="shared" si="1"/>
        <v>93.746130850190639</v>
      </c>
    </row>
    <row r="29" spans="1:56" ht="18.75" thickBot="1" x14ac:dyDescent="0.3">
      <c r="A29" s="38">
        <f t="shared" ref="A29:A33" si="4">A28+1</f>
        <v>46163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13">
        <v>100000</v>
      </c>
      <c r="M29" s="111" t="s">
        <v>125</v>
      </c>
      <c r="N29" s="111" t="s">
        <v>124</v>
      </c>
      <c r="O29" s="110" t="s">
        <v>85</v>
      </c>
      <c r="P29" s="40"/>
      <c r="Q29" s="40"/>
      <c r="R29" s="40"/>
      <c r="S29" s="40"/>
      <c r="T29" s="41">
        <v>7</v>
      </c>
      <c r="U29" s="41">
        <v>7</v>
      </c>
      <c r="V29" s="41">
        <v>7</v>
      </c>
      <c r="W29" s="41">
        <v>7</v>
      </c>
      <c r="X29" s="41">
        <v>7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8</v>
      </c>
      <c r="AV29" s="41">
        <v>8</v>
      </c>
      <c r="AW29" s="41">
        <v>8</v>
      </c>
      <c r="AX29" s="42">
        <f t="shared" si="2"/>
        <v>7.833333333333333</v>
      </c>
      <c r="AY29" s="43">
        <f t="shared" si="0"/>
        <v>0.37904902178945149</v>
      </c>
      <c r="AZ29" s="42">
        <f t="shared" si="3"/>
        <v>4.83892368241853</v>
      </c>
      <c r="BA29" s="44" t="s">
        <v>69</v>
      </c>
      <c r="BB29" s="45"/>
      <c r="BC29" s="46"/>
      <c r="BD29" s="47">
        <f t="shared" si="1"/>
        <v>95.161076317581475</v>
      </c>
    </row>
    <row r="30" spans="1:56" ht="18.75" thickBot="1" x14ac:dyDescent="0.3">
      <c r="A30" s="38">
        <f t="shared" si="4"/>
        <v>46164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13">
        <v>100000</v>
      </c>
      <c r="M30" s="111" t="s">
        <v>125</v>
      </c>
      <c r="N30" s="111" t="s">
        <v>124</v>
      </c>
      <c r="O30" s="110" t="s">
        <v>85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9</v>
      </c>
      <c r="Y30" s="41">
        <v>9</v>
      </c>
      <c r="Z30" s="41">
        <v>9</v>
      </c>
      <c r="AA30" s="41">
        <v>9</v>
      </c>
      <c r="AB30" s="41">
        <v>9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8.8666666666666671</v>
      </c>
      <c r="AY30" s="43">
        <f t="shared" si="0"/>
        <v>0.34574590364176017</v>
      </c>
      <c r="AZ30" s="42">
        <f t="shared" si="3"/>
        <v>3.8993898906965434</v>
      </c>
      <c r="BA30" s="44" t="s">
        <v>70</v>
      </c>
      <c r="BB30" s="48"/>
      <c r="BC30" s="46"/>
      <c r="BD30" s="47">
        <f t="shared" si="1"/>
        <v>96.10061010930346</v>
      </c>
    </row>
    <row r="31" spans="1:56" ht="18.75" thickBot="1" x14ac:dyDescent="0.3">
      <c r="A31" s="38">
        <f t="shared" si="4"/>
        <v>46165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13">
        <v>100000</v>
      </c>
      <c r="M31" s="111" t="s">
        <v>125</v>
      </c>
      <c r="N31" s="111" t="s">
        <v>124</v>
      </c>
      <c r="O31" s="110" t="s">
        <v>85</v>
      </c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10</v>
      </c>
      <c r="AJ31" s="41">
        <v>10</v>
      </c>
      <c r="AK31" s="41">
        <v>10</v>
      </c>
      <c r="AL31" s="41">
        <v>10</v>
      </c>
      <c r="AM31" s="41">
        <v>10</v>
      </c>
      <c r="AN31" s="41">
        <v>10</v>
      </c>
      <c r="AO31" s="41">
        <v>10</v>
      </c>
      <c r="AP31" s="41">
        <v>10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2"/>
        <v>9.5</v>
      </c>
      <c r="AY31" s="43">
        <f t="shared" si="0"/>
        <v>0.5085476277156078</v>
      </c>
      <c r="AZ31" s="42">
        <f t="shared" si="3"/>
        <v>5.3531329233221872</v>
      </c>
      <c r="BA31" s="44" t="s">
        <v>71</v>
      </c>
      <c r="BB31" s="48"/>
      <c r="BC31" s="49"/>
      <c r="BD31" s="47">
        <f t="shared" si="1"/>
        <v>94.646867076677808</v>
      </c>
    </row>
    <row r="32" spans="1:56" ht="18.75" thickBot="1" x14ac:dyDescent="0.3">
      <c r="A32" s="38">
        <f t="shared" si="4"/>
        <v>46166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13">
        <v>100000</v>
      </c>
      <c r="M32" s="111" t="s">
        <v>125</v>
      </c>
      <c r="N32" s="111" t="s">
        <v>124</v>
      </c>
      <c r="O32" s="110" t="s">
        <v>85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11</v>
      </c>
      <c r="AX32" s="42">
        <f t="shared" si="2"/>
        <v>9.6333333333333329</v>
      </c>
      <c r="AY32" s="43">
        <f t="shared" si="0"/>
        <v>0.55605341676753572</v>
      </c>
      <c r="AZ32" s="42">
        <f t="shared" si="3"/>
        <v>5.7721807968948342</v>
      </c>
      <c r="BA32" s="44" t="s">
        <v>72</v>
      </c>
      <c r="BB32" s="48"/>
      <c r="BC32" s="49"/>
      <c r="BD32" s="47">
        <f t="shared" si="1"/>
        <v>94.22781920310517</v>
      </c>
    </row>
    <row r="33" spans="1:56" ht="18.75" thickBot="1" x14ac:dyDescent="0.3">
      <c r="A33" s="38">
        <f t="shared" si="4"/>
        <v>46167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13">
        <v>100000</v>
      </c>
      <c r="M33" s="111" t="s">
        <v>125</v>
      </c>
      <c r="N33" s="111" t="s">
        <v>124</v>
      </c>
      <c r="O33" s="110" t="s">
        <v>85</v>
      </c>
      <c r="P33" s="40"/>
      <c r="Q33" s="40"/>
      <c r="R33" s="39">
        <v>92550</v>
      </c>
      <c r="S33" s="40">
        <f>R33/L33</f>
        <v>0.92549999999999999</v>
      </c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9</v>
      </c>
      <c r="AB33" s="41">
        <v>9</v>
      </c>
      <c r="AC33" s="41">
        <v>9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9.9</v>
      </c>
      <c r="AY33" s="43">
        <f t="shared" si="0"/>
        <v>0.75885576295203638</v>
      </c>
      <c r="AZ33" s="42">
        <f t="shared" si="3"/>
        <v>7.6652097267882455</v>
      </c>
      <c r="BA33" s="44" t="s">
        <v>73</v>
      </c>
      <c r="BB33" s="48"/>
      <c r="BC33" s="49"/>
      <c r="BD33" s="47">
        <f t="shared" si="1"/>
        <v>92.334790273211752</v>
      </c>
    </row>
  </sheetData>
  <mergeCells count="30"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</mergeCells>
  <pageMargins left="0.7" right="0.7" top="0.75" bottom="0.75" header="0.3" footer="0.3"/>
  <pageSetup paperSize="9" orientation="landscape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2DB8-A9D7-4A53-B433-688631C3813C}">
  <dimension ref="A1:BD33"/>
  <sheetViews>
    <sheetView topLeftCell="J10" zoomScale="60" zoomScaleNormal="60" workbookViewId="0">
      <selection activeCell="AP33" sqref="AP33:AS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46150</v>
      </c>
      <c r="B3" s="26" t="s">
        <v>50</v>
      </c>
      <c r="C3" s="218">
        <v>18</v>
      </c>
      <c r="D3" s="217"/>
      <c r="E3" s="50"/>
      <c r="F3" s="51"/>
      <c r="G3" s="51"/>
      <c r="H3" s="51"/>
      <c r="I3" s="54"/>
      <c r="J3" s="52"/>
      <c r="K3" s="53"/>
      <c r="L3" s="113">
        <v>105000</v>
      </c>
      <c r="M3" s="111" t="s">
        <v>126</v>
      </c>
      <c r="N3" s="111" t="s">
        <v>127</v>
      </c>
      <c r="O3" s="110" t="s">
        <v>85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165</v>
      </c>
      <c r="J4" s="55" t="s">
        <v>84</v>
      </c>
      <c r="K4" s="56"/>
      <c r="L4" s="113">
        <v>105000</v>
      </c>
      <c r="M4" s="111" t="s">
        <v>126</v>
      </c>
      <c r="N4" s="111" t="s">
        <v>127</v>
      </c>
      <c r="O4" s="110" t="s">
        <v>85</v>
      </c>
    </row>
    <row r="5" spans="1:23" ht="18.75" thickBot="1" x14ac:dyDescent="0.3">
      <c r="A5" s="215">
        <v>46151</v>
      </c>
      <c r="B5" s="26" t="s">
        <v>50</v>
      </c>
      <c r="C5" s="218"/>
      <c r="D5" s="217"/>
      <c r="E5" s="50" t="s">
        <v>83</v>
      </c>
      <c r="F5" s="51"/>
      <c r="G5" s="51"/>
      <c r="H5" s="51"/>
      <c r="I5" s="54" t="s">
        <v>178</v>
      </c>
      <c r="J5" s="55" t="s">
        <v>84</v>
      </c>
      <c r="K5" s="56"/>
      <c r="L5" s="113">
        <v>105000</v>
      </c>
      <c r="M5" s="111" t="s">
        <v>126</v>
      </c>
      <c r="N5" s="111" t="s">
        <v>127</v>
      </c>
      <c r="O5" s="110" t="s">
        <v>85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191</v>
      </c>
      <c r="J6" s="55" t="s">
        <v>84</v>
      </c>
      <c r="K6" s="56"/>
      <c r="L6" s="113">
        <v>105000</v>
      </c>
      <c r="M6" s="111" t="s">
        <v>126</v>
      </c>
      <c r="N6" s="111" t="s">
        <v>127</v>
      </c>
      <c r="O6" s="110" t="s">
        <v>85</v>
      </c>
    </row>
    <row r="7" spans="1:23" ht="18.75" thickBot="1" x14ac:dyDescent="0.3">
      <c r="A7" s="215">
        <v>46152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137</v>
      </c>
      <c r="J7" s="55" t="s">
        <v>84</v>
      </c>
      <c r="K7" s="56"/>
      <c r="L7" s="113">
        <v>105000</v>
      </c>
      <c r="M7" s="111" t="s">
        <v>126</v>
      </c>
      <c r="N7" s="111" t="s">
        <v>127</v>
      </c>
      <c r="O7" s="110" t="s">
        <v>85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188</v>
      </c>
      <c r="J8" s="55" t="s">
        <v>84</v>
      </c>
      <c r="K8" s="56"/>
      <c r="L8" s="113">
        <v>105000</v>
      </c>
      <c r="M8" s="111" t="s">
        <v>126</v>
      </c>
      <c r="N8" s="111" t="s">
        <v>127</v>
      </c>
      <c r="O8" s="110" t="s">
        <v>85</v>
      </c>
    </row>
    <row r="9" spans="1:23" ht="18.75" thickBot="1" x14ac:dyDescent="0.3">
      <c r="A9" s="215">
        <v>46153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263</v>
      </c>
      <c r="J9" s="55" t="s">
        <v>84</v>
      </c>
      <c r="K9" s="56"/>
      <c r="L9" s="113">
        <v>105000</v>
      </c>
      <c r="M9" s="111" t="s">
        <v>126</v>
      </c>
      <c r="N9" s="111" t="s">
        <v>127</v>
      </c>
      <c r="O9" s="110" t="s">
        <v>85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264</v>
      </c>
      <c r="J10" s="55" t="s">
        <v>84</v>
      </c>
      <c r="K10" s="56"/>
      <c r="L10" s="113">
        <v>105000</v>
      </c>
      <c r="M10" s="111" t="s">
        <v>126</v>
      </c>
      <c r="N10" s="111" t="s">
        <v>127</v>
      </c>
      <c r="O10" s="110" t="s">
        <v>85</v>
      </c>
    </row>
    <row r="11" spans="1:23" ht="18.75" thickBot="1" x14ac:dyDescent="0.3">
      <c r="A11" s="215">
        <v>46154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277</v>
      </c>
      <c r="J11" s="55" t="s">
        <v>84</v>
      </c>
      <c r="K11" s="56"/>
      <c r="L11" s="113">
        <v>105000</v>
      </c>
      <c r="M11" s="111" t="s">
        <v>126</v>
      </c>
      <c r="N11" s="111" t="s">
        <v>127</v>
      </c>
      <c r="O11" s="110" t="s">
        <v>85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254</v>
      </c>
      <c r="J12" s="55" t="s">
        <v>84</v>
      </c>
      <c r="K12" s="56"/>
      <c r="L12" s="113">
        <v>105000</v>
      </c>
      <c r="M12" s="111" t="s">
        <v>126</v>
      </c>
      <c r="N12" s="111" t="s">
        <v>127</v>
      </c>
      <c r="O12" s="110" t="s">
        <v>85</v>
      </c>
      <c r="W12" t="s">
        <v>63</v>
      </c>
    </row>
    <row r="13" spans="1:23" ht="18.75" thickBot="1" x14ac:dyDescent="0.3">
      <c r="A13" s="215">
        <v>46155</v>
      </c>
      <c r="B13" s="26" t="s">
        <v>50</v>
      </c>
      <c r="C13" s="218"/>
      <c r="D13" s="217"/>
      <c r="E13" s="50" t="s">
        <v>305</v>
      </c>
      <c r="F13" s="57"/>
      <c r="G13" s="51"/>
      <c r="H13" s="51"/>
      <c r="I13" s="54"/>
      <c r="J13" s="55" t="s">
        <v>84</v>
      </c>
      <c r="K13" s="56"/>
      <c r="L13" s="113">
        <v>105000</v>
      </c>
      <c r="M13" s="111" t="s">
        <v>126</v>
      </c>
      <c r="N13" s="111" t="s">
        <v>127</v>
      </c>
      <c r="O13" s="110" t="s">
        <v>85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311</v>
      </c>
      <c r="F14" s="57"/>
      <c r="G14" s="51"/>
      <c r="H14" s="51"/>
      <c r="I14" s="54"/>
      <c r="J14" s="55" t="s">
        <v>84</v>
      </c>
      <c r="K14" s="56"/>
      <c r="L14" s="113">
        <v>105000</v>
      </c>
      <c r="M14" s="111" t="s">
        <v>126</v>
      </c>
      <c r="N14" s="111" t="s">
        <v>127</v>
      </c>
      <c r="O14" s="110" t="s">
        <v>85</v>
      </c>
    </row>
    <row r="15" spans="1:23" ht="18.75" thickBot="1" x14ac:dyDescent="0.3">
      <c r="A15" s="215">
        <v>46156</v>
      </c>
      <c r="B15" s="26" t="s">
        <v>50</v>
      </c>
      <c r="C15" s="218"/>
      <c r="D15" s="217"/>
      <c r="E15" s="50" t="s">
        <v>318</v>
      </c>
      <c r="F15" s="57"/>
      <c r="G15" s="58"/>
      <c r="H15" s="51"/>
      <c r="I15" s="54"/>
      <c r="J15" s="55" t="s">
        <v>95</v>
      </c>
      <c r="K15" s="56"/>
      <c r="L15" s="113">
        <v>105000</v>
      </c>
      <c r="M15" s="111" t="s">
        <v>126</v>
      </c>
      <c r="N15" s="111" t="s">
        <v>127</v>
      </c>
      <c r="O15" s="110" t="s">
        <v>85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325</v>
      </c>
      <c r="F16" s="57"/>
      <c r="G16" s="58">
        <v>0.03</v>
      </c>
      <c r="H16" s="51"/>
      <c r="I16" s="54"/>
      <c r="J16" s="55" t="s">
        <v>84</v>
      </c>
      <c r="K16" s="56" t="s">
        <v>315</v>
      </c>
      <c r="L16" s="113">
        <v>105000</v>
      </c>
      <c r="M16" s="111" t="s">
        <v>126</v>
      </c>
      <c r="N16" s="111" t="s">
        <v>127</v>
      </c>
      <c r="O16" s="110" t="s">
        <v>85</v>
      </c>
    </row>
    <row r="17" spans="1:56" ht="18.75" thickBot="1" x14ac:dyDescent="0.3">
      <c r="A17" s="215">
        <v>46157</v>
      </c>
      <c r="B17" s="26" t="s">
        <v>50</v>
      </c>
      <c r="C17" s="218"/>
      <c r="D17" s="217"/>
      <c r="E17" s="50" t="s">
        <v>300</v>
      </c>
      <c r="F17" s="57"/>
      <c r="G17" s="58"/>
      <c r="H17" s="51"/>
      <c r="I17" s="54"/>
      <c r="J17" s="55" t="s">
        <v>84</v>
      </c>
      <c r="K17" s="56" t="s">
        <v>315</v>
      </c>
      <c r="L17" s="113">
        <v>105000</v>
      </c>
      <c r="M17" s="111" t="s">
        <v>126</v>
      </c>
      <c r="N17" s="111" t="s">
        <v>127</v>
      </c>
      <c r="O17" s="110" t="s">
        <v>85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/>
      <c r="H18" s="51"/>
      <c r="I18" s="54"/>
      <c r="J18" s="55" t="s">
        <v>84</v>
      </c>
      <c r="K18" s="53"/>
      <c r="L18" s="113">
        <v>105000</v>
      </c>
      <c r="M18" s="111" t="s">
        <v>126</v>
      </c>
      <c r="N18" s="111" t="s">
        <v>127</v>
      </c>
      <c r="O18" s="110" t="s">
        <v>85</v>
      </c>
    </row>
    <row r="19" spans="1:56" ht="18.75" thickBot="1" x14ac:dyDescent="0.3">
      <c r="A19" s="215">
        <v>46158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6" t="s">
        <v>315</v>
      </c>
      <c r="L19" s="113">
        <v>105000</v>
      </c>
      <c r="M19" s="111" t="s">
        <v>126</v>
      </c>
      <c r="N19" s="111" t="s">
        <v>127</v>
      </c>
      <c r="O19" s="110" t="s">
        <v>85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 t="s">
        <v>315</v>
      </c>
      <c r="L20" s="113">
        <v>105000</v>
      </c>
      <c r="M20" s="111" t="s">
        <v>126</v>
      </c>
      <c r="N20" s="111" t="s">
        <v>127</v>
      </c>
      <c r="O20" s="110" t="s">
        <v>85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13">
        <v>105000</v>
      </c>
      <c r="M21" s="111" t="s">
        <v>126</v>
      </c>
      <c r="N21" s="111" t="s">
        <v>127</v>
      </c>
      <c r="O21" s="110" t="s">
        <v>85</v>
      </c>
    </row>
    <row r="22" spans="1:56" ht="18.75" thickBot="1" x14ac:dyDescent="0.3">
      <c r="A22" s="215">
        <f>A19+1</f>
        <v>46159</v>
      </c>
      <c r="B22" s="26" t="s">
        <v>50</v>
      </c>
      <c r="C22" s="216">
        <v>18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6"/>
      <c r="L22" s="113">
        <v>105000</v>
      </c>
      <c r="M22" s="111" t="s">
        <v>126</v>
      </c>
      <c r="N22" s="111" t="s">
        <v>127</v>
      </c>
      <c r="O22" s="110" t="s">
        <v>85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>
        <v>0.06</v>
      </c>
      <c r="H23" s="51"/>
      <c r="I23" s="54"/>
      <c r="J23" s="55" t="s">
        <v>84</v>
      </c>
      <c r="K23" s="56"/>
      <c r="L23" s="113">
        <v>105000</v>
      </c>
      <c r="M23" s="111" t="s">
        <v>126</v>
      </c>
      <c r="N23" s="111" t="s">
        <v>127</v>
      </c>
      <c r="O23" s="110" t="s">
        <v>85</v>
      </c>
    </row>
    <row r="24" spans="1:56" ht="18.75" thickBot="1" x14ac:dyDescent="0.3">
      <c r="A24" s="215">
        <f>A22+1</f>
        <v>46160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13">
        <v>105000</v>
      </c>
      <c r="M24" s="111" t="s">
        <v>126</v>
      </c>
      <c r="N24" s="111" t="s">
        <v>127</v>
      </c>
      <c r="O24" s="110" t="s">
        <v>85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13">
        <v>105000</v>
      </c>
      <c r="M25" s="111" t="s">
        <v>126</v>
      </c>
      <c r="N25" s="111" t="s">
        <v>127</v>
      </c>
      <c r="O25" s="110" t="s">
        <v>85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46161</v>
      </c>
      <c r="B27" s="26" t="s">
        <v>50</v>
      </c>
      <c r="C27" s="222">
        <v>18</v>
      </c>
      <c r="D27" s="222">
        <v>17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13">
        <v>105000</v>
      </c>
      <c r="M27" s="111" t="s">
        <v>126</v>
      </c>
      <c r="N27" s="111" t="s">
        <v>127</v>
      </c>
      <c r="O27" s="110" t="s">
        <v>85</v>
      </c>
      <c r="P27" s="39">
        <v>96000</v>
      </c>
      <c r="Q27" s="40">
        <f>P27/L27</f>
        <v>0.91428571428571426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8</v>
      </c>
      <c r="AW27" s="41">
        <v>8</v>
      </c>
      <c r="AX27" s="42">
        <f>IF(AW27&gt;0,AVERAGE(T27:AW27),"")</f>
        <v>7.0666666666666664</v>
      </c>
      <c r="AY27" s="43">
        <f t="shared" ref="AY27:AY33" si="0">IF(AW27&gt;0,STDEV(T27:AW27),"")</f>
        <v>0.25370813170246242</v>
      </c>
      <c r="AZ27" s="42">
        <f>IF(AW27&gt;0,AY27/AX27*100,"")</f>
        <v>3.5902094108839022</v>
      </c>
      <c r="BA27" s="44" t="s">
        <v>67</v>
      </c>
      <c r="BB27" s="45"/>
      <c r="BC27" s="46"/>
      <c r="BD27" s="47">
        <f t="shared" ref="BD27:BD33" si="1">IF(AW27&gt;0,100-AZ27,"")</f>
        <v>96.409790589116099</v>
      </c>
    </row>
    <row r="28" spans="1:56" ht="18.75" thickBot="1" x14ac:dyDescent="0.3">
      <c r="A28" s="38">
        <f>A27+1</f>
        <v>46162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13">
        <v>105000</v>
      </c>
      <c r="M28" s="111" t="s">
        <v>126</v>
      </c>
      <c r="N28" s="111" t="s">
        <v>127</v>
      </c>
      <c r="O28" s="110" t="s">
        <v>85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8</v>
      </c>
      <c r="AE28" s="41">
        <v>8</v>
      </c>
      <c r="AF28" s="41">
        <v>8</v>
      </c>
      <c r="AG28" s="41">
        <v>8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7.666666666666667</v>
      </c>
      <c r="AY28" s="43">
        <f t="shared" si="0"/>
        <v>0.47946330148538396</v>
      </c>
      <c r="AZ28" s="42">
        <f t="shared" ref="AZ28:AZ33" si="3">IF(AW28&gt;0,AY28/AX28*100,"")</f>
        <v>6.2538691498093559</v>
      </c>
      <c r="BA28" s="44" t="s">
        <v>68</v>
      </c>
      <c r="BB28" s="45"/>
      <c r="BC28" s="46"/>
      <c r="BD28" s="47">
        <f t="shared" si="1"/>
        <v>93.746130850190639</v>
      </c>
    </row>
    <row r="29" spans="1:56" ht="18.75" thickBot="1" x14ac:dyDescent="0.3">
      <c r="A29" s="38">
        <f t="shared" ref="A29:A33" si="4">A28+1</f>
        <v>46163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13">
        <v>105000</v>
      </c>
      <c r="M29" s="111" t="s">
        <v>126</v>
      </c>
      <c r="N29" s="111" t="s">
        <v>127</v>
      </c>
      <c r="O29" s="110" t="s">
        <v>85</v>
      </c>
      <c r="P29" s="40"/>
      <c r="Q29" s="40"/>
      <c r="R29" s="40"/>
      <c r="S29" s="40"/>
      <c r="T29" s="41">
        <v>7</v>
      </c>
      <c r="U29" s="41">
        <v>7</v>
      </c>
      <c r="V29" s="41">
        <v>7</v>
      </c>
      <c r="W29" s="41">
        <v>7</v>
      </c>
      <c r="X29" s="41">
        <v>7</v>
      </c>
      <c r="Y29" s="41">
        <v>7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8</v>
      </c>
      <c r="AT29" s="41">
        <v>8</v>
      </c>
      <c r="AU29" s="41">
        <v>9</v>
      </c>
      <c r="AV29" s="41">
        <v>9</v>
      </c>
      <c r="AW29" s="41">
        <v>9</v>
      </c>
      <c r="AX29" s="42">
        <f t="shared" si="2"/>
        <v>7.9</v>
      </c>
      <c r="AY29" s="43">
        <f t="shared" si="0"/>
        <v>0.54772255750516607</v>
      </c>
      <c r="AZ29" s="42">
        <f t="shared" si="3"/>
        <v>6.9331969304451402</v>
      </c>
      <c r="BA29" s="44" t="s">
        <v>69</v>
      </c>
      <c r="BB29" s="45"/>
      <c r="BC29" s="46"/>
      <c r="BD29" s="47">
        <f t="shared" si="1"/>
        <v>93.066803069554865</v>
      </c>
    </row>
    <row r="30" spans="1:56" ht="18.75" thickBot="1" x14ac:dyDescent="0.3">
      <c r="A30" s="38">
        <f t="shared" si="4"/>
        <v>46164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13">
        <v>105000</v>
      </c>
      <c r="M30" s="111" t="s">
        <v>126</v>
      </c>
      <c r="N30" s="111" t="s">
        <v>127</v>
      </c>
      <c r="O30" s="110" t="s">
        <v>85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9</v>
      </c>
      <c r="Z30" s="41">
        <v>9</v>
      </c>
      <c r="AA30" s="41">
        <v>9</v>
      </c>
      <c r="AB30" s="41">
        <v>9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8.8333333333333339</v>
      </c>
      <c r="AY30" s="43">
        <f t="shared" si="0"/>
        <v>0.37904902178945182</v>
      </c>
      <c r="AZ30" s="42">
        <f t="shared" si="3"/>
        <v>4.291121001390021</v>
      </c>
      <c r="BA30" s="44" t="s">
        <v>70</v>
      </c>
      <c r="BB30" s="48"/>
      <c r="BC30" s="46"/>
      <c r="BD30" s="47">
        <f t="shared" si="1"/>
        <v>95.708878998609975</v>
      </c>
    </row>
    <row r="31" spans="1:56" ht="18.75" thickBot="1" x14ac:dyDescent="0.3">
      <c r="A31" s="38">
        <f t="shared" si="4"/>
        <v>46165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13">
        <v>105000</v>
      </c>
      <c r="M31" s="111" t="s">
        <v>126</v>
      </c>
      <c r="N31" s="111" t="s">
        <v>127</v>
      </c>
      <c r="O31" s="110" t="s">
        <v>85</v>
      </c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10</v>
      </c>
      <c r="AH31" s="41">
        <v>10</v>
      </c>
      <c r="AI31" s="41">
        <v>10</v>
      </c>
      <c r="AJ31" s="41">
        <v>10</v>
      </c>
      <c r="AK31" s="41">
        <v>10</v>
      </c>
      <c r="AL31" s="41">
        <v>10</v>
      </c>
      <c r="AM31" s="41">
        <v>10</v>
      </c>
      <c r="AN31" s="41">
        <v>10</v>
      </c>
      <c r="AO31" s="41">
        <v>10</v>
      </c>
      <c r="AP31" s="41">
        <v>10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2"/>
        <v>9.5666666666666664</v>
      </c>
      <c r="AY31" s="43">
        <f t="shared" si="0"/>
        <v>0.50400693299373078</v>
      </c>
      <c r="AZ31" s="42">
        <f t="shared" si="3"/>
        <v>5.2683651532445728</v>
      </c>
      <c r="BA31" s="44" t="s">
        <v>71</v>
      </c>
      <c r="BB31" s="48"/>
      <c r="BC31" s="49"/>
      <c r="BD31" s="47">
        <f t="shared" si="1"/>
        <v>94.731634846755426</v>
      </c>
    </row>
    <row r="32" spans="1:56" ht="18.75" thickBot="1" x14ac:dyDescent="0.3">
      <c r="A32" s="38">
        <f t="shared" si="4"/>
        <v>46166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13">
        <v>105000</v>
      </c>
      <c r="M32" s="111" t="s">
        <v>126</v>
      </c>
      <c r="N32" s="111" t="s">
        <v>127</v>
      </c>
      <c r="O32" s="110" t="s">
        <v>85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10</v>
      </c>
      <c r="AE32" s="41">
        <v>10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11</v>
      </c>
      <c r="AW32" s="41">
        <v>11</v>
      </c>
      <c r="AX32" s="42">
        <f t="shared" si="2"/>
        <v>9.7333333333333325</v>
      </c>
      <c r="AY32" s="43">
        <f t="shared" si="0"/>
        <v>0.58329228098567465</v>
      </c>
      <c r="AZ32" s="42">
        <f t="shared" si="3"/>
        <v>5.992728914236384</v>
      </c>
      <c r="BA32" s="44" t="s">
        <v>72</v>
      </c>
      <c r="BB32" s="48"/>
      <c r="BC32" s="49"/>
      <c r="BD32" s="47">
        <f t="shared" si="1"/>
        <v>94.00727108576362</v>
      </c>
    </row>
    <row r="33" spans="1:56" ht="18.75" thickBot="1" x14ac:dyDescent="0.3">
      <c r="A33" s="38">
        <f t="shared" si="4"/>
        <v>46167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13">
        <v>105000</v>
      </c>
      <c r="M33" s="111" t="s">
        <v>126</v>
      </c>
      <c r="N33" s="111" t="s">
        <v>127</v>
      </c>
      <c r="O33" s="110" t="s">
        <v>85</v>
      </c>
      <c r="P33" s="40"/>
      <c r="Q33" s="40"/>
      <c r="R33" s="39">
        <v>93650</v>
      </c>
      <c r="S33" s="40">
        <f>R33/L33</f>
        <v>0.89190476190476187</v>
      </c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10.033333333333333</v>
      </c>
      <c r="AY33" s="43">
        <f t="shared" si="0"/>
        <v>0.71839540228413812</v>
      </c>
      <c r="AZ33" s="42">
        <f t="shared" si="3"/>
        <v>7.1600870659548645</v>
      </c>
      <c r="BA33" s="44" t="s">
        <v>73</v>
      </c>
      <c r="BB33" s="48"/>
      <c r="BC33" s="49"/>
      <c r="BD33" s="47">
        <f t="shared" si="1"/>
        <v>92.839912934045131</v>
      </c>
    </row>
  </sheetData>
  <mergeCells count="30"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A22:A23"/>
    <mergeCell ref="C22:C25"/>
    <mergeCell ref="A24:A25"/>
    <mergeCell ref="E26:F26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19:A20"/>
  </mergeCells>
  <pageMargins left="0.7" right="0.7" top="0.75" bottom="0.75" header="0.3" footer="0.3"/>
  <pageSetup paperSize="9" orientation="landscape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9A5B-D027-45DD-BDD5-9D8441036A28}">
  <dimension ref="A1:BD33"/>
  <sheetViews>
    <sheetView topLeftCell="J16" zoomScale="60" zoomScaleNormal="60" workbookViewId="0">
      <selection activeCell="AT38" sqref="AT38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7" t="s">
        <v>48</v>
      </c>
      <c r="M2" s="27" t="s">
        <v>25</v>
      </c>
      <c r="N2" s="137" t="s">
        <v>26</v>
      </c>
      <c r="O2" s="32" t="s">
        <v>49</v>
      </c>
    </row>
    <row r="3" spans="1:23" ht="18.75" thickBot="1" x14ac:dyDescent="0.3">
      <c r="A3" s="215">
        <v>46150</v>
      </c>
      <c r="B3" s="26" t="s">
        <v>50</v>
      </c>
      <c r="C3" s="218">
        <v>19</v>
      </c>
      <c r="D3" s="217"/>
      <c r="E3" s="50"/>
      <c r="F3" s="51"/>
      <c r="G3" s="51"/>
      <c r="H3" s="51"/>
      <c r="I3" s="54"/>
      <c r="J3" s="52"/>
      <c r="K3" s="53"/>
      <c r="L3" s="113">
        <v>107500</v>
      </c>
      <c r="M3" s="111" t="s">
        <v>128</v>
      </c>
      <c r="N3" s="111" t="s">
        <v>124</v>
      </c>
      <c r="O3" s="110" t="s">
        <v>86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166</v>
      </c>
      <c r="F4" s="51">
        <v>0.1</v>
      </c>
      <c r="G4" s="51"/>
      <c r="H4" s="51"/>
      <c r="I4" s="54" t="s">
        <v>99</v>
      </c>
      <c r="J4" s="55" t="s">
        <v>84</v>
      </c>
      <c r="K4" s="56" t="s">
        <v>93</v>
      </c>
      <c r="L4" s="113">
        <v>107500</v>
      </c>
      <c r="M4" s="111" t="s">
        <v>128</v>
      </c>
      <c r="N4" s="111" t="s">
        <v>124</v>
      </c>
      <c r="O4" s="110" t="s">
        <v>86</v>
      </c>
    </row>
    <row r="5" spans="1:23" ht="18.75" thickBot="1" x14ac:dyDescent="0.3">
      <c r="A5" s="215">
        <v>46151</v>
      </c>
      <c r="B5" s="26" t="s">
        <v>50</v>
      </c>
      <c r="C5" s="218"/>
      <c r="D5" s="217"/>
      <c r="E5" s="50" t="s">
        <v>83</v>
      </c>
      <c r="F5" s="51"/>
      <c r="G5" s="51">
        <v>0.04</v>
      </c>
      <c r="H5" s="51"/>
      <c r="I5" s="54" t="s">
        <v>179</v>
      </c>
      <c r="J5" s="55" t="s">
        <v>84</v>
      </c>
      <c r="K5" s="56"/>
      <c r="L5" s="113">
        <v>107500</v>
      </c>
      <c r="M5" s="111" t="s">
        <v>128</v>
      </c>
      <c r="N5" s="111" t="s">
        <v>124</v>
      </c>
      <c r="O5" s="110" t="s">
        <v>86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192</v>
      </c>
      <c r="J6" s="55" t="s">
        <v>84</v>
      </c>
      <c r="K6" s="56"/>
      <c r="L6" s="113">
        <v>107500</v>
      </c>
      <c r="M6" s="111" t="s">
        <v>128</v>
      </c>
      <c r="N6" s="111" t="s">
        <v>124</v>
      </c>
      <c r="O6" s="110" t="s">
        <v>86</v>
      </c>
    </row>
    <row r="7" spans="1:23" ht="18.75" thickBot="1" x14ac:dyDescent="0.3">
      <c r="A7" s="215">
        <v>46152</v>
      </c>
      <c r="B7" s="26" t="s">
        <v>50</v>
      </c>
      <c r="C7" s="218"/>
      <c r="D7" s="217"/>
      <c r="E7" s="50" t="s">
        <v>167</v>
      </c>
      <c r="F7" s="51"/>
      <c r="G7" s="51">
        <v>0.03</v>
      </c>
      <c r="H7" s="51"/>
      <c r="I7" s="54" t="s">
        <v>209</v>
      </c>
      <c r="J7" s="55" t="s">
        <v>84</v>
      </c>
      <c r="K7" s="56"/>
      <c r="L7" s="113">
        <v>107500</v>
      </c>
      <c r="M7" s="111" t="s">
        <v>128</v>
      </c>
      <c r="N7" s="111" t="s">
        <v>124</v>
      </c>
      <c r="O7" s="110" t="s">
        <v>86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239</v>
      </c>
      <c r="J8" s="55" t="s">
        <v>84</v>
      </c>
      <c r="K8" s="56"/>
      <c r="L8" s="113">
        <v>107500</v>
      </c>
      <c r="M8" s="111" t="s">
        <v>128</v>
      </c>
      <c r="N8" s="111" t="s">
        <v>124</v>
      </c>
      <c r="O8" s="110" t="s">
        <v>86</v>
      </c>
    </row>
    <row r="9" spans="1:23" ht="18.75" thickBot="1" x14ac:dyDescent="0.3">
      <c r="A9" s="215">
        <v>46153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183</v>
      </c>
      <c r="J9" s="55" t="s">
        <v>84</v>
      </c>
      <c r="K9" s="56"/>
      <c r="L9" s="113">
        <v>107500</v>
      </c>
      <c r="M9" s="111" t="s">
        <v>128</v>
      </c>
      <c r="N9" s="111" t="s">
        <v>124</v>
      </c>
      <c r="O9" s="110" t="s">
        <v>86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265</v>
      </c>
      <c r="J10" s="55" t="s">
        <v>84</v>
      </c>
      <c r="K10" s="56"/>
      <c r="L10" s="113">
        <v>107500</v>
      </c>
      <c r="M10" s="111" t="s">
        <v>128</v>
      </c>
      <c r="N10" s="111" t="s">
        <v>124</v>
      </c>
      <c r="O10" s="110" t="s">
        <v>86</v>
      </c>
    </row>
    <row r="11" spans="1:23" ht="18.75" thickBot="1" x14ac:dyDescent="0.3">
      <c r="A11" s="215">
        <v>46154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278</v>
      </c>
      <c r="J11" s="55" t="s">
        <v>84</v>
      </c>
      <c r="K11" s="56"/>
      <c r="L11" s="113">
        <v>107500</v>
      </c>
      <c r="M11" s="111" t="s">
        <v>128</v>
      </c>
      <c r="N11" s="111" t="s">
        <v>124</v>
      </c>
      <c r="O11" s="110" t="s">
        <v>86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256</v>
      </c>
      <c r="J12" s="55" t="s">
        <v>84</v>
      </c>
      <c r="K12" s="56"/>
      <c r="L12" s="113">
        <v>107500</v>
      </c>
      <c r="M12" s="111" t="s">
        <v>128</v>
      </c>
      <c r="N12" s="111" t="s">
        <v>124</v>
      </c>
      <c r="O12" s="110" t="s">
        <v>86</v>
      </c>
      <c r="W12" t="s">
        <v>63</v>
      </c>
    </row>
    <row r="13" spans="1:23" ht="18.75" thickBot="1" x14ac:dyDescent="0.3">
      <c r="A13" s="215">
        <v>46155</v>
      </c>
      <c r="B13" s="26" t="s">
        <v>50</v>
      </c>
      <c r="C13" s="218"/>
      <c r="D13" s="217"/>
      <c r="E13" s="50" t="s">
        <v>271</v>
      </c>
      <c r="F13" s="57"/>
      <c r="G13" s="51"/>
      <c r="H13" s="51"/>
      <c r="I13" s="54"/>
      <c r="J13" s="55" t="s">
        <v>84</v>
      </c>
      <c r="K13" s="56"/>
      <c r="L13" s="113">
        <v>107500</v>
      </c>
      <c r="M13" s="111" t="s">
        <v>128</v>
      </c>
      <c r="N13" s="111" t="s">
        <v>124</v>
      </c>
      <c r="O13" s="110" t="s">
        <v>86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270</v>
      </c>
      <c r="F14" s="57"/>
      <c r="G14" s="51"/>
      <c r="H14" s="51"/>
      <c r="I14" s="54"/>
      <c r="J14" s="55" t="s">
        <v>84</v>
      </c>
      <c r="K14" s="56"/>
      <c r="L14" s="113">
        <v>107500</v>
      </c>
      <c r="M14" s="111" t="s">
        <v>128</v>
      </c>
      <c r="N14" s="111" t="s">
        <v>124</v>
      </c>
      <c r="O14" s="110" t="s">
        <v>86</v>
      </c>
    </row>
    <row r="15" spans="1:23" ht="18.75" thickBot="1" x14ac:dyDescent="0.3">
      <c r="A15" s="215">
        <v>46156</v>
      </c>
      <c r="B15" s="26" t="s">
        <v>50</v>
      </c>
      <c r="C15" s="218"/>
      <c r="D15" s="217"/>
      <c r="E15" s="50" t="s">
        <v>298</v>
      </c>
      <c r="F15" s="57"/>
      <c r="G15" s="58"/>
      <c r="H15" s="51"/>
      <c r="I15" s="54"/>
      <c r="J15" s="55" t="s">
        <v>84</v>
      </c>
      <c r="K15" s="56"/>
      <c r="L15" s="113">
        <v>107500</v>
      </c>
      <c r="M15" s="111" t="s">
        <v>128</v>
      </c>
      <c r="N15" s="111" t="s">
        <v>124</v>
      </c>
      <c r="O15" s="110" t="s">
        <v>86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326</v>
      </c>
      <c r="F16" s="57"/>
      <c r="G16" s="58"/>
      <c r="H16" s="51"/>
      <c r="I16" s="54"/>
      <c r="J16" s="55" t="s">
        <v>84</v>
      </c>
      <c r="K16" s="56"/>
      <c r="L16" s="113">
        <v>107500</v>
      </c>
      <c r="M16" s="111" t="s">
        <v>128</v>
      </c>
      <c r="N16" s="111" t="s">
        <v>124</v>
      </c>
      <c r="O16" s="110" t="s">
        <v>86</v>
      </c>
    </row>
    <row r="17" spans="1:56" ht="18.75" thickBot="1" x14ac:dyDescent="0.3">
      <c r="A17" s="215">
        <v>46157</v>
      </c>
      <c r="B17" s="26" t="s">
        <v>50</v>
      </c>
      <c r="C17" s="218"/>
      <c r="D17" s="217"/>
      <c r="E17" s="50" t="s">
        <v>309</v>
      </c>
      <c r="F17" s="57"/>
      <c r="G17" s="58"/>
      <c r="H17" s="51"/>
      <c r="I17" s="54"/>
      <c r="J17" s="55" t="s">
        <v>84</v>
      </c>
      <c r="K17" s="56"/>
      <c r="L17" s="113">
        <v>107500</v>
      </c>
      <c r="M17" s="111" t="s">
        <v>128</v>
      </c>
      <c r="N17" s="111" t="s">
        <v>124</v>
      </c>
      <c r="O17" s="110" t="s">
        <v>86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/>
      <c r="H18" s="51"/>
      <c r="I18" s="54"/>
      <c r="J18" s="55" t="s">
        <v>84</v>
      </c>
      <c r="K18" s="53"/>
      <c r="L18" s="113">
        <v>107500</v>
      </c>
      <c r="M18" s="111" t="s">
        <v>128</v>
      </c>
      <c r="N18" s="111" t="s">
        <v>124</v>
      </c>
      <c r="O18" s="110" t="s">
        <v>86</v>
      </c>
    </row>
    <row r="19" spans="1:56" ht="18.75" thickBot="1" x14ac:dyDescent="0.3">
      <c r="A19" s="215">
        <v>46158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3"/>
      <c r="L19" s="113">
        <v>107500</v>
      </c>
      <c r="M19" s="111" t="s">
        <v>128</v>
      </c>
      <c r="N19" s="111" t="s">
        <v>124</v>
      </c>
      <c r="O19" s="110" t="s">
        <v>86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/>
      <c r="L20" s="113">
        <v>107500</v>
      </c>
      <c r="M20" s="111" t="s">
        <v>128</v>
      </c>
      <c r="N20" s="111" t="s">
        <v>124</v>
      </c>
      <c r="O20" s="110" t="s">
        <v>86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13">
        <v>107500</v>
      </c>
      <c r="M21" s="111" t="s">
        <v>128</v>
      </c>
      <c r="N21" s="111" t="s">
        <v>124</v>
      </c>
      <c r="O21" s="110" t="s">
        <v>86</v>
      </c>
    </row>
    <row r="22" spans="1:56" ht="18.75" thickBot="1" x14ac:dyDescent="0.3">
      <c r="A22" s="215">
        <f>A19+1</f>
        <v>46159</v>
      </c>
      <c r="B22" s="26" t="s">
        <v>50</v>
      </c>
      <c r="C22" s="216">
        <v>19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6"/>
      <c r="L22" s="113">
        <v>107500</v>
      </c>
      <c r="M22" s="111" t="s">
        <v>128</v>
      </c>
      <c r="N22" s="111" t="s">
        <v>124</v>
      </c>
      <c r="O22" s="110" t="s">
        <v>86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13">
        <v>107500</v>
      </c>
      <c r="M23" s="111" t="s">
        <v>128</v>
      </c>
      <c r="N23" s="111" t="s">
        <v>124</v>
      </c>
      <c r="O23" s="110" t="s">
        <v>86</v>
      </c>
    </row>
    <row r="24" spans="1:56" ht="18.75" thickBot="1" x14ac:dyDescent="0.3">
      <c r="A24" s="215">
        <f>A22+1</f>
        <v>46160</v>
      </c>
      <c r="B24" s="26" t="s">
        <v>50</v>
      </c>
      <c r="C24" s="216"/>
      <c r="D24" s="34"/>
      <c r="E24" s="50" t="s">
        <v>314</v>
      </c>
      <c r="F24" s="57"/>
      <c r="G24" s="58">
        <v>0.03</v>
      </c>
      <c r="H24" s="51"/>
      <c r="I24" s="54"/>
      <c r="J24" s="55" t="s">
        <v>84</v>
      </c>
      <c r="K24" s="56"/>
      <c r="L24" s="113">
        <v>107500</v>
      </c>
      <c r="M24" s="111" t="s">
        <v>128</v>
      </c>
      <c r="N24" s="111" t="s">
        <v>124</v>
      </c>
      <c r="O24" s="110" t="s">
        <v>86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13">
        <v>107500</v>
      </c>
      <c r="M25" s="111" t="s">
        <v>128</v>
      </c>
      <c r="N25" s="111" t="s">
        <v>124</v>
      </c>
      <c r="O25" s="110" t="s">
        <v>86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6" t="s">
        <v>48</v>
      </c>
      <c r="M26" s="136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46161</v>
      </c>
      <c r="B27" s="26" t="s">
        <v>50</v>
      </c>
      <c r="C27" s="222">
        <v>19</v>
      </c>
      <c r="D27" s="222">
        <v>18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13">
        <v>107500</v>
      </c>
      <c r="M27" s="111" t="s">
        <v>128</v>
      </c>
      <c r="N27" s="111" t="s">
        <v>124</v>
      </c>
      <c r="O27" s="110" t="s">
        <v>86</v>
      </c>
      <c r="P27" s="39">
        <v>96333</v>
      </c>
      <c r="Q27" s="40">
        <f>P27/L27</f>
        <v>0.89612093023255812</v>
      </c>
      <c r="R27" s="40"/>
      <c r="S27" s="40"/>
      <c r="T27" s="41">
        <v>6</v>
      </c>
      <c r="U27" s="41">
        <v>6</v>
      </c>
      <c r="V27" s="41">
        <v>6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6.9</v>
      </c>
      <c r="AY27" s="43">
        <f t="shared" ref="AY27:AY33" si="0">IF(AW27&gt;0,STDEV(T27:AW27),"")</f>
        <v>0.30512857662936443</v>
      </c>
      <c r="AZ27" s="42">
        <f>IF(AW27&gt;0,AY27/AX27*100,"")</f>
        <v>4.4221532844835423</v>
      </c>
      <c r="BA27" s="44" t="s">
        <v>67</v>
      </c>
      <c r="BB27" s="45"/>
      <c r="BC27" s="46"/>
      <c r="BD27" s="47">
        <f t="shared" ref="BD27:BD33" si="1">IF(AW27&gt;0,100-AZ27,"")</f>
        <v>95.577846715516458</v>
      </c>
    </row>
    <row r="28" spans="1:56" ht="18.75" thickBot="1" x14ac:dyDescent="0.3">
      <c r="A28" s="38">
        <f>A27+1</f>
        <v>46162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13">
        <v>107500</v>
      </c>
      <c r="M28" s="111" t="s">
        <v>128</v>
      </c>
      <c r="N28" s="111" t="s">
        <v>124</v>
      </c>
      <c r="O28" s="110" t="s">
        <v>86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7.5</v>
      </c>
      <c r="AY28" s="43">
        <f t="shared" si="0"/>
        <v>0.5085476277156078</v>
      </c>
      <c r="AZ28" s="42">
        <f t="shared" ref="AZ28:AZ33" si="3">IF(AW28&gt;0,AY28/AX28*100,"")</f>
        <v>6.7806350362081034</v>
      </c>
      <c r="BA28" s="44" t="s">
        <v>68</v>
      </c>
      <c r="BB28" s="45"/>
      <c r="BC28" s="46"/>
      <c r="BD28" s="47">
        <f t="shared" si="1"/>
        <v>93.21936496379189</v>
      </c>
    </row>
    <row r="29" spans="1:56" ht="18.75" thickBot="1" x14ac:dyDescent="0.3">
      <c r="A29" s="38">
        <f t="shared" ref="A29:A33" si="4">A28+1</f>
        <v>46163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13">
        <v>107500</v>
      </c>
      <c r="M29" s="111" t="s">
        <v>128</v>
      </c>
      <c r="N29" s="111" t="s">
        <v>124</v>
      </c>
      <c r="O29" s="110" t="s">
        <v>86</v>
      </c>
      <c r="P29" s="40"/>
      <c r="Q29" s="40"/>
      <c r="R29" s="40"/>
      <c r="S29" s="40"/>
      <c r="T29" s="41">
        <v>7</v>
      </c>
      <c r="U29" s="41">
        <v>7</v>
      </c>
      <c r="V29" s="41">
        <v>7</v>
      </c>
      <c r="W29" s="41">
        <v>7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9</v>
      </c>
      <c r="AQ29" s="41">
        <v>9</v>
      </c>
      <c r="AR29" s="41">
        <v>9</v>
      </c>
      <c r="AS29" s="41">
        <v>9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si="2"/>
        <v>8.1333333333333329</v>
      </c>
      <c r="AY29" s="43">
        <f t="shared" si="0"/>
        <v>0.6288102248298566</v>
      </c>
      <c r="AZ29" s="42">
        <f t="shared" si="3"/>
        <v>7.731273256104795</v>
      </c>
      <c r="BA29" s="44" t="s">
        <v>69</v>
      </c>
      <c r="BB29" s="45"/>
      <c r="BC29" s="46"/>
      <c r="BD29" s="47">
        <f t="shared" si="1"/>
        <v>92.268726743895201</v>
      </c>
    </row>
    <row r="30" spans="1:56" ht="18.75" thickBot="1" x14ac:dyDescent="0.3">
      <c r="A30" s="38">
        <f t="shared" si="4"/>
        <v>46164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13">
        <v>107500</v>
      </c>
      <c r="M30" s="111" t="s">
        <v>128</v>
      </c>
      <c r="N30" s="111" t="s">
        <v>124</v>
      </c>
      <c r="O30" s="110" t="s">
        <v>86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8</v>
      </c>
      <c r="AB30" s="41">
        <v>8</v>
      </c>
      <c r="AC30" s="41">
        <v>8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8.6666666666666661</v>
      </c>
      <c r="AY30" s="43">
        <f t="shared" si="0"/>
        <v>0.47946330148538424</v>
      </c>
      <c r="AZ30" s="42">
        <f t="shared" si="3"/>
        <v>5.5322688632928951</v>
      </c>
      <c r="BA30" s="44" t="s">
        <v>70</v>
      </c>
      <c r="BB30" s="48"/>
      <c r="BC30" s="46"/>
      <c r="BD30" s="47">
        <f t="shared" si="1"/>
        <v>94.467731136707101</v>
      </c>
    </row>
    <row r="31" spans="1:56" ht="18.75" thickBot="1" x14ac:dyDescent="0.3">
      <c r="A31" s="38">
        <f t="shared" si="4"/>
        <v>46165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13">
        <v>107500</v>
      </c>
      <c r="M31" s="111" t="s">
        <v>128</v>
      </c>
      <c r="N31" s="111" t="s">
        <v>124</v>
      </c>
      <c r="O31" s="110" t="s">
        <v>86</v>
      </c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10</v>
      </c>
      <c r="AI31" s="41">
        <v>10</v>
      </c>
      <c r="AJ31" s="41">
        <v>10</v>
      </c>
      <c r="AK31" s="41">
        <v>10</v>
      </c>
      <c r="AL31" s="41">
        <v>10</v>
      </c>
      <c r="AM31" s="41">
        <v>10</v>
      </c>
      <c r="AN31" s="41">
        <v>10</v>
      </c>
      <c r="AO31" s="41">
        <v>10</v>
      </c>
      <c r="AP31" s="41">
        <v>10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2"/>
        <v>9.5333333333333332</v>
      </c>
      <c r="AY31" s="43">
        <f t="shared" si="0"/>
        <v>0.50741626340492496</v>
      </c>
      <c r="AZ31" s="42">
        <f t="shared" si="3"/>
        <v>5.3225482175341776</v>
      </c>
      <c r="BA31" s="44" t="s">
        <v>71</v>
      </c>
      <c r="BB31" s="48"/>
      <c r="BC31" s="49"/>
      <c r="BD31" s="47">
        <f t="shared" si="1"/>
        <v>94.677451782465823</v>
      </c>
    </row>
    <row r="32" spans="1:56" ht="18.75" thickBot="1" x14ac:dyDescent="0.3">
      <c r="A32" s="38">
        <f t="shared" si="4"/>
        <v>46166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13">
        <v>107500</v>
      </c>
      <c r="M32" s="111" t="s">
        <v>128</v>
      </c>
      <c r="N32" s="111" t="s">
        <v>124</v>
      </c>
      <c r="O32" s="110" t="s">
        <v>86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11</v>
      </c>
      <c r="AT32" s="41">
        <v>11</v>
      </c>
      <c r="AU32" s="41">
        <v>11</v>
      </c>
      <c r="AV32" s="41">
        <v>11</v>
      </c>
      <c r="AW32" s="41">
        <v>11</v>
      </c>
      <c r="AX32" s="42">
        <f t="shared" si="2"/>
        <v>9.7666666666666675</v>
      </c>
      <c r="AY32" s="43">
        <f t="shared" si="0"/>
        <v>0.72793204179460624</v>
      </c>
      <c r="AZ32" s="42">
        <f t="shared" si="3"/>
        <v>7.453229096873101</v>
      </c>
      <c r="BA32" s="44" t="s">
        <v>72</v>
      </c>
      <c r="BB32" s="48"/>
      <c r="BC32" s="49"/>
      <c r="BD32" s="47">
        <f t="shared" si="1"/>
        <v>92.546770903126898</v>
      </c>
    </row>
    <row r="33" spans="1:56" ht="18.75" thickBot="1" x14ac:dyDescent="0.3">
      <c r="A33" s="38">
        <f t="shared" si="4"/>
        <v>46167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13">
        <v>107500</v>
      </c>
      <c r="M33" s="111" t="s">
        <v>128</v>
      </c>
      <c r="N33" s="111" t="s">
        <v>124</v>
      </c>
      <c r="O33" s="110" t="s">
        <v>86</v>
      </c>
      <c r="P33" s="40"/>
      <c r="Q33" s="40"/>
      <c r="R33" s="39">
        <v>93150</v>
      </c>
      <c r="S33" s="40">
        <f>R33/L33</f>
        <v>0.86651162790697678</v>
      </c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9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10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9.9333333333333336</v>
      </c>
      <c r="AY33" s="43">
        <f t="shared" si="0"/>
        <v>0.69149180728352078</v>
      </c>
      <c r="AZ33" s="42">
        <f t="shared" si="3"/>
        <v>6.9613269189616194</v>
      </c>
      <c r="BA33" s="44" t="s">
        <v>73</v>
      </c>
      <c r="BB33" s="48"/>
      <c r="BC33" s="49"/>
      <c r="BD33" s="47">
        <f t="shared" si="1"/>
        <v>93.038673081038382</v>
      </c>
    </row>
  </sheetData>
  <mergeCells count="30">
    <mergeCell ref="A19:A20"/>
    <mergeCell ref="A22:A23"/>
    <mergeCell ref="C22:C25"/>
    <mergeCell ref="A24:A25"/>
    <mergeCell ref="T25:AW25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Z25:AZ26"/>
    <mergeCell ref="BA25:BA26"/>
    <mergeCell ref="BB25:BB26"/>
    <mergeCell ref="E26:F26"/>
    <mergeCell ref="C27:C33"/>
    <mergeCell ref="D27:D33"/>
    <mergeCell ref="E27:F27"/>
    <mergeCell ref="E28:F28"/>
    <mergeCell ref="E29:F29"/>
    <mergeCell ref="AX25:AX26"/>
    <mergeCell ref="E30:F30"/>
    <mergeCell ref="E31:F31"/>
    <mergeCell ref="E32:F32"/>
    <mergeCell ref="E33:F33"/>
    <mergeCell ref="AY25:AY26"/>
  </mergeCells>
  <pageMargins left="0.7" right="0.7" top="0.75" bottom="0.75" header="0.3" footer="0.3"/>
  <pageSetup paperSize="9" orientation="landscape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5E2B-EE65-4785-AD08-C9E9FC22B77D}">
  <dimension ref="A1:BD33"/>
  <sheetViews>
    <sheetView topLeftCell="J10" zoomScale="60" zoomScaleNormal="60" zoomScaleSheetLayoutView="50" workbookViewId="0">
      <selection activeCell="Z33" sqref="Z33:AM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46150</v>
      </c>
      <c r="B3" s="26" t="s">
        <v>50</v>
      </c>
      <c r="C3" s="218">
        <v>20</v>
      </c>
      <c r="D3" s="217"/>
      <c r="E3" s="50"/>
      <c r="F3" s="51"/>
      <c r="G3" s="51"/>
      <c r="H3" s="51"/>
      <c r="I3" s="54"/>
      <c r="J3" s="52"/>
      <c r="K3" s="53"/>
      <c r="L3" s="113">
        <v>106666</v>
      </c>
      <c r="M3" s="168" t="s">
        <v>193</v>
      </c>
      <c r="N3" s="168" t="s">
        <v>88</v>
      </c>
      <c r="O3" s="167" t="s">
        <v>85</v>
      </c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>
        <v>0.03</v>
      </c>
      <c r="H4" s="51"/>
      <c r="I4" s="54" t="s">
        <v>130</v>
      </c>
      <c r="J4" s="55" t="s">
        <v>95</v>
      </c>
      <c r="K4" s="56"/>
      <c r="L4" s="113">
        <v>106666</v>
      </c>
      <c r="M4" s="168" t="s">
        <v>193</v>
      </c>
      <c r="N4" s="168" t="s">
        <v>88</v>
      </c>
      <c r="O4" s="167" t="s">
        <v>85</v>
      </c>
    </row>
    <row r="5" spans="1:23" ht="18.75" thickBot="1" x14ac:dyDescent="0.3">
      <c r="A5" s="215">
        <v>46151</v>
      </c>
      <c r="B5" s="26" t="s">
        <v>50</v>
      </c>
      <c r="C5" s="218"/>
      <c r="D5" s="217"/>
      <c r="E5" s="50" t="s">
        <v>83</v>
      </c>
      <c r="F5" s="51">
        <v>0.03</v>
      </c>
      <c r="G5" s="51">
        <v>0.06</v>
      </c>
      <c r="H5" s="51"/>
      <c r="I5" s="54" t="s">
        <v>210</v>
      </c>
      <c r="J5" s="55" t="s">
        <v>84</v>
      </c>
      <c r="K5" s="56" t="s">
        <v>140</v>
      </c>
      <c r="L5" s="113">
        <v>106666</v>
      </c>
      <c r="M5" s="168" t="s">
        <v>193</v>
      </c>
      <c r="N5" s="168" t="s">
        <v>88</v>
      </c>
      <c r="O5" s="167" t="s">
        <v>85</v>
      </c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141</v>
      </c>
      <c r="J6" s="55" t="s">
        <v>84</v>
      </c>
      <c r="K6" s="56"/>
      <c r="L6" s="113">
        <v>106666</v>
      </c>
      <c r="M6" s="168" t="s">
        <v>193</v>
      </c>
      <c r="N6" s="168" t="s">
        <v>88</v>
      </c>
      <c r="O6" s="167" t="s">
        <v>85</v>
      </c>
    </row>
    <row r="7" spans="1:23" ht="18.75" thickBot="1" x14ac:dyDescent="0.3">
      <c r="A7" s="215">
        <v>46152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230</v>
      </c>
      <c r="J7" s="55" t="s">
        <v>84</v>
      </c>
      <c r="K7" s="56"/>
      <c r="L7" s="113">
        <v>106666</v>
      </c>
      <c r="M7" s="168" t="s">
        <v>193</v>
      </c>
      <c r="N7" s="168" t="s">
        <v>88</v>
      </c>
      <c r="O7" s="167" t="s">
        <v>85</v>
      </c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178</v>
      </c>
      <c r="J8" s="55" t="s">
        <v>84</v>
      </c>
      <c r="K8" s="56"/>
      <c r="L8" s="113">
        <v>106666</v>
      </c>
      <c r="M8" s="168" t="s">
        <v>193</v>
      </c>
      <c r="N8" s="168" t="s">
        <v>88</v>
      </c>
      <c r="O8" s="167" t="s">
        <v>85</v>
      </c>
    </row>
    <row r="9" spans="1:23" ht="18.75" thickBot="1" x14ac:dyDescent="0.3">
      <c r="A9" s="215">
        <v>46153</v>
      </c>
      <c r="B9" s="26" t="s">
        <v>50</v>
      </c>
      <c r="C9" s="218"/>
      <c r="D9" s="217"/>
      <c r="E9" s="50" t="s">
        <v>195</v>
      </c>
      <c r="F9" s="57"/>
      <c r="G9" s="51">
        <v>0.03</v>
      </c>
      <c r="H9" s="51"/>
      <c r="I9" s="54" t="s">
        <v>176</v>
      </c>
      <c r="J9" s="55" t="s">
        <v>84</v>
      </c>
      <c r="K9" s="56"/>
      <c r="L9" s="113">
        <v>106666</v>
      </c>
      <c r="M9" s="168" t="s">
        <v>193</v>
      </c>
      <c r="N9" s="168" t="s">
        <v>88</v>
      </c>
      <c r="O9" s="167" t="s">
        <v>85</v>
      </c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209</v>
      </c>
      <c r="J10" s="55" t="s">
        <v>84</v>
      </c>
      <c r="K10" s="56"/>
      <c r="L10" s="113">
        <v>106666</v>
      </c>
      <c r="M10" s="168" t="s">
        <v>193</v>
      </c>
      <c r="N10" s="168" t="s">
        <v>88</v>
      </c>
      <c r="O10" s="167" t="s">
        <v>85</v>
      </c>
    </row>
    <row r="11" spans="1:23" ht="18.75" thickBot="1" x14ac:dyDescent="0.3">
      <c r="A11" s="215">
        <v>46154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253</v>
      </c>
      <c r="J11" s="55" t="s">
        <v>84</v>
      </c>
      <c r="K11" s="56"/>
      <c r="L11" s="113">
        <v>106666</v>
      </c>
      <c r="M11" s="168" t="s">
        <v>193</v>
      </c>
      <c r="N11" s="168" t="s">
        <v>88</v>
      </c>
      <c r="O11" s="167" t="s">
        <v>85</v>
      </c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253</v>
      </c>
      <c r="J12" s="55" t="s">
        <v>84</v>
      </c>
      <c r="K12" s="56"/>
      <c r="L12" s="113">
        <v>106666</v>
      </c>
      <c r="M12" s="168" t="s">
        <v>193</v>
      </c>
      <c r="N12" s="168" t="s">
        <v>88</v>
      </c>
      <c r="O12" s="167" t="s">
        <v>85</v>
      </c>
      <c r="W12" t="s">
        <v>63</v>
      </c>
    </row>
    <row r="13" spans="1:23" ht="18.75" thickBot="1" x14ac:dyDescent="0.3">
      <c r="A13" s="215">
        <v>46155</v>
      </c>
      <c r="B13" s="26" t="s">
        <v>50</v>
      </c>
      <c r="C13" s="218"/>
      <c r="D13" s="217"/>
      <c r="E13" s="50" t="s">
        <v>244</v>
      </c>
      <c r="F13" s="57"/>
      <c r="G13" s="51"/>
      <c r="H13" s="51"/>
      <c r="I13" s="54" t="s">
        <v>254</v>
      </c>
      <c r="J13" s="55" t="s">
        <v>84</v>
      </c>
      <c r="K13" s="56"/>
      <c r="L13" s="113">
        <v>106666</v>
      </c>
      <c r="M13" s="168" t="s">
        <v>193</v>
      </c>
      <c r="N13" s="168" t="s">
        <v>88</v>
      </c>
      <c r="O13" s="167" t="s">
        <v>85</v>
      </c>
    </row>
    <row r="14" spans="1:23" ht="18.75" thickBot="1" x14ac:dyDescent="0.3">
      <c r="A14" s="215"/>
      <c r="B14" s="26" t="s">
        <v>51</v>
      </c>
      <c r="C14" s="218"/>
      <c r="D14" s="217"/>
      <c r="E14" s="50" t="s">
        <v>319</v>
      </c>
      <c r="F14" s="57"/>
      <c r="G14" s="51"/>
      <c r="H14" s="51"/>
      <c r="I14" s="54"/>
      <c r="J14" s="55" t="s">
        <v>84</v>
      </c>
      <c r="K14" s="56"/>
      <c r="L14" s="113">
        <v>106666</v>
      </c>
      <c r="M14" s="168" t="s">
        <v>193</v>
      </c>
      <c r="N14" s="168" t="s">
        <v>88</v>
      </c>
      <c r="O14" s="167" t="s">
        <v>85</v>
      </c>
    </row>
    <row r="15" spans="1:23" ht="18.75" thickBot="1" x14ac:dyDescent="0.3">
      <c r="A15" s="215">
        <v>46156</v>
      </c>
      <c r="B15" s="26" t="s">
        <v>50</v>
      </c>
      <c r="C15" s="218"/>
      <c r="D15" s="217"/>
      <c r="E15" s="50" t="s">
        <v>319</v>
      </c>
      <c r="F15" s="57"/>
      <c r="G15" s="58"/>
      <c r="H15" s="51"/>
      <c r="I15" s="54"/>
      <c r="J15" s="55" t="s">
        <v>84</v>
      </c>
      <c r="K15" s="56"/>
      <c r="L15" s="113">
        <v>106666</v>
      </c>
      <c r="M15" s="168" t="s">
        <v>193</v>
      </c>
      <c r="N15" s="168" t="s">
        <v>88</v>
      </c>
      <c r="O15" s="167" t="s">
        <v>85</v>
      </c>
    </row>
    <row r="16" spans="1:23" ht="18.75" thickBot="1" x14ac:dyDescent="0.3">
      <c r="A16" s="215"/>
      <c r="B16" s="26" t="s">
        <v>51</v>
      </c>
      <c r="C16" s="218"/>
      <c r="D16" s="217"/>
      <c r="E16" s="50" t="s">
        <v>273</v>
      </c>
      <c r="F16" s="57"/>
      <c r="G16" s="58"/>
      <c r="H16" s="51"/>
      <c r="I16" s="54"/>
      <c r="J16" s="55" t="s">
        <v>84</v>
      </c>
      <c r="K16" s="56"/>
      <c r="L16" s="113">
        <v>106666</v>
      </c>
      <c r="M16" s="168" t="s">
        <v>193</v>
      </c>
      <c r="N16" s="168" t="s">
        <v>88</v>
      </c>
      <c r="O16" s="167" t="s">
        <v>85</v>
      </c>
    </row>
    <row r="17" spans="1:56" ht="18.75" thickBot="1" x14ac:dyDescent="0.3">
      <c r="A17" s="215">
        <v>46157</v>
      </c>
      <c r="B17" s="26" t="s">
        <v>50</v>
      </c>
      <c r="C17" s="218"/>
      <c r="D17" s="217"/>
      <c r="E17" s="50" t="s">
        <v>327</v>
      </c>
      <c r="F17" s="57"/>
      <c r="G17" s="58"/>
      <c r="H17" s="51"/>
      <c r="I17" s="54"/>
      <c r="J17" s="55" t="s">
        <v>84</v>
      </c>
      <c r="K17" s="56"/>
      <c r="L17" s="113">
        <v>106666</v>
      </c>
      <c r="M17" s="168" t="s">
        <v>193</v>
      </c>
      <c r="N17" s="168" t="s">
        <v>88</v>
      </c>
      <c r="O17" s="167" t="s">
        <v>85</v>
      </c>
    </row>
    <row r="18" spans="1:56" ht="18.75" thickBot="1" x14ac:dyDescent="0.3">
      <c r="A18" s="215"/>
      <c r="B18" s="26" t="s">
        <v>51</v>
      </c>
      <c r="C18" s="218"/>
      <c r="D18" s="217"/>
      <c r="E18" s="50" t="s">
        <v>299</v>
      </c>
      <c r="F18" s="57"/>
      <c r="G18" s="58"/>
      <c r="H18" s="51"/>
      <c r="I18" s="54"/>
      <c r="J18" s="55" t="s">
        <v>84</v>
      </c>
      <c r="K18" s="53"/>
      <c r="L18" s="113">
        <v>106666</v>
      </c>
      <c r="M18" s="168" t="s">
        <v>193</v>
      </c>
      <c r="N18" s="168" t="s">
        <v>88</v>
      </c>
      <c r="O18" s="167" t="s">
        <v>85</v>
      </c>
    </row>
    <row r="19" spans="1:56" ht="18.75" thickBot="1" x14ac:dyDescent="0.3">
      <c r="A19" s="215">
        <v>46158</v>
      </c>
      <c r="B19" s="26" t="s">
        <v>50</v>
      </c>
      <c r="C19" s="218"/>
      <c r="D19" s="217"/>
      <c r="E19" s="50" t="s">
        <v>314</v>
      </c>
      <c r="F19" s="57"/>
      <c r="G19" s="58">
        <v>0.03</v>
      </c>
      <c r="H19" s="51"/>
      <c r="I19" s="54"/>
      <c r="J19" s="55" t="s">
        <v>84</v>
      </c>
      <c r="K19" s="53"/>
      <c r="L19" s="113">
        <v>106666</v>
      </c>
      <c r="M19" s="168" t="s">
        <v>193</v>
      </c>
      <c r="N19" s="168" t="s">
        <v>88</v>
      </c>
      <c r="O19" s="167" t="s">
        <v>85</v>
      </c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/>
      <c r="L20" s="113">
        <v>106666</v>
      </c>
      <c r="M20" s="168" t="s">
        <v>193</v>
      </c>
      <c r="N20" s="168" t="s">
        <v>88</v>
      </c>
      <c r="O20" s="167" t="s">
        <v>85</v>
      </c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13">
        <v>106666</v>
      </c>
      <c r="M21" s="168" t="s">
        <v>193</v>
      </c>
      <c r="N21" s="168" t="s">
        <v>88</v>
      </c>
      <c r="O21" s="167" t="s">
        <v>85</v>
      </c>
    </row>
    <row r="22" spans="1:56" ht="18.75" thickBot="1" x14ac:dyDescent="0.3">
      <c r="A22" s="215">
        <f>A19+1</f>
        <v>46159</v>
      </c>
      <c r="B22" s="26" t="s">
        <v>50</v>
      </c>
      <c r="C22" s="216">
        <v>20</v>
      </c>
      <c r="D22" s="34"/>
      <c r="E22" s="50" t="s">
        <v>314</v>
      </c>
      <c r="F22" s="57"/>
      <c r="G22" s="58">
        <v>0.03</v>
      </c>
      <c r="H22" s="51"/>
      <c r="I22" s="54"/>
      <c r="J22" s="55" t="s">
        <v>84</v>
      </c>
      <c r="K22" s="56"/>
      <c r="L22" s="113">
        <v>106666</v>
      </c>
      <c r="M22" s="168" t="s">
        <v>193</v>
      </c>
      <c r="N22" s="168" t="s">
        <v>88</v>
      </c>
      <c r="O22" s="167" t="s">
        <v>85</v>
      </c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13">
        <v>106666</v>
      </c>
      <c r="M23" s="168" t="s">
        <v>193</v>
      </c>
      <c r="N23" s="168" t="s">
        <v>88</v>
      </c>
      <c r="O23" s="167" t="s">
        <v>85</v>
      </c>
    </row>
    <row r="24" spans="1:56" ht="18.75" thickBot="1" x14ac:dyDescent="0.3">
      <c r="A24" s="215">
        <f>A22+1</f>
        <v>46160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13">
        <v>106666</v>
      </c>
      <c r="M24" s="168" t="s">
        <v>193</v>
      </c>
      <c r="N24" s="168" t="s">
        <v>88</v>
      </c>
      <c r="O24" s="167" t="s">
        <v>85</v>
      </c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>
        <v>0.03</v>
      </c>
      <c r="H25" s="51"/>
      <c r="I25" s="54"/>
      <c r="J25" s="55" t="s">
        <v>84</v>
      </c>
      <c r="K25" s="56"/>
      <c r="L25" s="113">
        <v>106666</v>
      </c>
      <c r="M25" s="168" t="s">
        <v>193</v>
      </c>
      <c r="N25" s="168" t="s">
        <v>88</v>
      </c>
      <c r="O25" s="167" t="s">
        <v>85</v>
      </c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46161</v>
      </c>
      <c r="B27" s="26" t="s">
        <v>50</v>
      </c>
      <c r="C27" s="222">
        <v>20</v>
      </c>
      <c r="D27" s="222"/>
      <c r="E27" s="219" t="s">
        <v>67</v>
      </c>
      <c r="F27" s="220"/>
      <c r="G27" s="51"/>
      <c r="H27" s="51">
        <v>0.03</v>
      </c>
      <c r="I27" s="51"/>
      <c r="J27" s="55" t="s">
        <v>84</v>
      </c>
      <c r="K27" s="56"/>
      <c r="L27" s="113">
        <v>106666</v>
      </c>
      <c r="M27" s="168" t="s">
        <v>193</v>
      </c>
      <c r="N27" s="168" t="s">
        <v>88</v>
      </c>
      <c r="O27" s="167" t="s">
        <v>85</v>
      </c>
      <c r="P27" s="39">
        <v>95900</v>
      </c>
      <c r="Q27" s="40">
        <f>P27/L27</f>
        <v>0.89906811917574481</v>
      </c>
      <c r="R27" s="40"/>
      <c r="S27" s="40"/>
      <c r="T27" s="41">
        <v>6</v>
      </c>
      <c r="U27" s="41">
        <v>6</v>
      </c>
      <c r="V27" s="41">
        <v>6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6.9</v>
      </c>
      <c r="AY27" s="43">
        <f t="shared" ref="AY27:AY33" si="0">IF(AW27&gt;0,STDEV(T27:AW27),"")</f>
        <v>0.30512857662936443</v>
      </c>
      <c r="AZ27" s="42">
        <f>IF(AW27&gt;0,AY27/AX27*100,"")</f>
        <v>4.4221532844835423</v>
      </c>
      <c r="BA27" s="44" t="s">
        <v>67</v>
      </c>
      <c r="BB27" s="45"/>
      <c r="BC27" s="46"/>
      <c r="BD27" s="47">
        <f t="shared" ref="BD27:BD33" si="1">IF(AW27&gt;0,100-AZ27,"")</f>
        <v>95.577846715516458</v>
      </c>
    </row>
    <row r="28" spans="1:56" ht="18.75" thickBot="1" x14ac:dyDescent="0.3">
      <c r="A28" s="38">
        <f>A27+1</f>
        <v>46162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13">
        <v>106666</v>
      </c>
      <c r="M28" s="168" t="s">
        <v>193</v>
      </c>
      <c r="N28" s="168" t="s">
        <v>88</v>
      </c>
      <c r="O28" s="167" t="s">
        <v>85</v>
      </c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8</v>
      </c>
      <c r="AC28" s="41">
        <v>8</v>
      </c>
      <c r="AD28" s="41">
        <v>8</v>
      </c>
      <c r="AE28" s="41">
        <v>8</v>
      </c>
      <c r="AF28" s="41">
        <v>8</v>
      </c>
      <c r="AG28" s="41">
        <v>8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7.7333333333333334</v>
      </c>
      <c r="AY28" s="43">
        <f t="shared" si="0"/>
        <v>0.44977644510880332</v>
      </c>
      <c r="AZ28" s="42">
        <f t="shared" ref="AZ28:AZ33" si="3">IF(AW28&gt;0,AY28/AX28*100,"")</f>
        <v>5.8160747212345258</v>
      </c>
      <c r="BA28" s="44" t="s">
        <v>68</v>
      </c>
      <c r="BB28" s="45"/>
      <c r="BC28" s="46"/>
      <c r="BD28" s="47">
        <f t="shared" si="1"/>
        <v>94.183925278765471</v>
      </c>
    </row>
    <row r="29" spans="1:56" ht="18.75" thickBot="1" x14ac:dyDescent="0.3">
      <c r="A29" s="38">
        <f t="shared" ref="A29:A33" si="4">A28+1</f>
        <v>46163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13">
        <v>106666</v>
      </c>
      <c r="M29" s="168" t="s">
        <v>193</v>
      </c>
      <c r="N29" s="168" t="s">
        <v>88</v>
      </c>
      <c r="O29" s="167" t="s">
        <v>85</v>
      </c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9</v>
      </c>
      <c r="AM29" s="41">
        <v>9</v>
      </c>
      <c r="AN29" s="41">
        <v>9</v>
      </c>
      <c r="AO29" s="41">
        <v>9</v>
      </c>
      <c r="AP29" s="41">
        <v>9</v>
      </c>
      <c r="AQ29" s="41">
        <v>9</v>
      </c>
      <c r="AR29" s="41">
        <v>9</v>
      </c>
      <c r="AS29" s="41">
        <v>9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si="2"/>
        <v>8.4</v>
      </c>
      <c r="AY29" s="43">
        <f t="shared" si="0"/>
        <v>0.49827287912243973</v>
      </c>
      <c r="AZ29" s="42">
        <f t="shared" si="3"/>
        <v>5.9318199895528538</v>
      </c>
      <c r="BA29" s="44" t="s">
        <v>69</v>
      </c>
      <c r="BB29" s="45"/>
      <c r="BC29" s="46"/>
      <c r="BD29" s="47">
        <f t="shared" si="1"/>
        <v>94.068180010447151</v>
      </c>
    </row>
    <row r="30" spans="1:56" ht="18.75" thickBot="1" x14ac:dyDescent="0.3">
      <c r="A30" s="38">
        <f t="shared" si="4"/>
        <v>46164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13">
        <v>106666</v>
      </c>
      <c r="M30" s="168" t="s">
        <v>193</v>
      </c>
      <c r="N30" s="168" t="s">
        <v>88</v>
      </c>
      <c r="O30" s="167" t="s">
        <v>85</v>
      </c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9</v>
      </c>
      <c r="Z30" s="41">
        <v>9</v>
      </c>
      <c r="AA30" s="41">
        <v>9</v>
      </c>
      <c r="AB30" s="41">
        <v>9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10</v>
      </c>
      <c r="AW30" s="41">
        <v>10</v>
      </c>
      <c r="AX30" s="42">
        <f t="shared" si="2"/>
        <v>8.9</v>
      </c>
      <c r="AY30" s="43">
        <f t="shared" si="0"/>
        <v>0.48066046515042254</v>
      </c>
      <c r="AZ30" s="42">
        <f t="shared" si="3"/>
        <v>5.400679383712613</v>
      </c>
      <c r="BA30" s="44" t="s">
        <v>70</v>
      </c>
      <c r="BB30" s="48"/>
      <c r="BC30" s="46"/>
      <c r="BD30" s="47">
        <f t="shared" si="1"/>
        <v>94.599320616287386</v>
      </c>
    </row>
    <row r="31" spans="1:56" ht="18.75" thickBot="1" x14ac:dyDescent="0.3">
      <c r="A31" s="38">
        <f t="shared" si="4"/>
        <v>46165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13">
        <v>106666</v>
      </c>
      <c r="M31" s="168" t="s">
        <v>193</v>
      </c>
      <c r="N31" s="168" t="s">
        <v>88</v>
      </c>
      <c r="O31" s="167" t="s">
        <v>85</v>
      </c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10</v>
      </c>
      <c r="AM31" s="41">
        <v>10</v>
      </c>
      <c r="AN31" s="41">
        <v>10</v>
      </c>
      <c r="AO31" s="41">
        <v>10</v>
      </c>
      <c r="AP31" s="41">
        <v>10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2"/>
        <v>9.4</v>
      </c>
      <c r="AY31" s="43">
        <f t="shared" si="0"/>
        <v>0.49827287912243973</v>
      </c>
      <c r="AZ31" s="42">
        <f t="shared" si="3"/>
        <v>5.3007753098131882</v>
      </c>
      <c r="BA31" s="44" t="s">
        <v>71</v>
      </c>
      <c r="BB31" s="48"/>
      <c r="BC31" s="49"/>
      <c r="BD31" s="47">
        <f t="shared" si="1"/>
        <v>94.69922469018681</v>
      </c>
    </row>
    <row r="32" spans="1:56" ht="18.75" thickBot="1" x14ac:dyDescent="0.3">
      <c r="A32" s="38">
        <f t="shared" si="4"/>
        <v>46166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13">
        <v>106666</v>
      </c>
      <c r="M32" s="168" t="s">
        <v>193</v>
      </c>
      <c r="N32" s="168" t="s">
        <v>88</v>
      </c>
      <c r="O32" s="167" t="s">
        <v>85</v>
      </c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10</v>
      </c>
      <c r="AC32" s="41">
        <v>10</v>
      </c>
      <c r="AD32" s="41">
        <v>10</v>
      </c>
      <c r="AE32" s="41">
        <v>10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9.7333333333333325</v>
      </c>
      <c r="AY32" s="43">
        <f t="shared" si="0"/>
        <v>0.44977644510880366</v>
      </c>
      <c r="AZ32" s="42">
        <f t="shared" si="3"/>
        <v>4.6209908744055177</v>
      </c>
      <c r="BA32" s="44" t="s">
        <v>72</v>
      </c>
      <c r="BB32" s="48"/>
      <c r="BC32" s="49"/>
      <c r="BD32" s="47">
        <f t="shared" si="1"/>
        <v>95.379009125594479</v>
      </c>
    </row>
    <row r="33" spans="1:56" ht="18.75" thickBot="1" x14ac:dyDescent="0.3">
      <c r="A33" s="38">
        <f t="shared" si="4"/>
        <v>46167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13">
        <v>106666</v>
      </c>
      <c r="M33" s="168" t="s">
        <v>193</v>
      </c>
      <c r="N33" s="168" t="s">
        <v>88</v>
      </c>
      <c r="O33" s="167" t="s">
        <v>85</v>
      </c>
      <c r="P33" s="40"/>
      <c r="Q33" s="40"/>
      <c r="R33" s="39">
        <v>94850</v>
      </c>
      <c r="S33" s="40">
        <f>R33/L33</f>
        <v>0.88922430765192284</v>
      </c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10</v>
      </c>
      <c r="AA33" s="41">
        <v>10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11</v>
      </c>
      <c r="AO33" s="41">
        <v>11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10.133333333333333</v>
      </c>
      <c r="AY33" s="43">
        <f t="shared" si="0"/>
        <v>0.73029674334022143</v>
      </c>
      <c r="AZ33" s="42">
        <f t="shared" si="3"/>
        <v>7.206875756646923</v>
      </c>
      <c r="BA33" s="44" t="s">
        <v>73</v>
      </c>
      <c r="BB33" s="48"/>
      <c r="BC33" s="49"/>
      <c r="BD33" s="47">
        <f t="shared" si="1"/>
        <v>92.793124243353077</v>
      </c>
    </row>
  </sheetData>
  <mergeCells count="30">
    <mergeCell ref="A19:A20"/>
    <mergeCell ref="A22:A23"/>
    <mergeCell ref="C22:C25"/>
    <mergeCell ref="A24:A25"/>
    <mergeCell ref="T25:AW25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  <mergeCell ref="AZ25:AZ26"/>
    <mergeCell ref="BA25:BA26"/>
    <mergeCell ref="BB25:BB26"/>
    <mergeCell ref="E26:F26"/>
    <mergeCell ref="C27:C33"/>
    <mergeCell ref="D27:D33"/>
    <mergeCell ref="E27:F27"/>
    <mergeCell ref="E28:F28"/>
    <mergeCell ref="E29:F29"/>
    <mergeCell ref="AX25:AX26"/>
    <mergeCell ref="E30:F30"/>
    <mergeCell ref="E31:F31"/>
    <mergeCell ref="E32:F32"/>
    <mergeCell ref="E33:F33"/>
    <mergeCell ref="AY25:AY26"/>
  </mergeCells>
  <pageMargins left="0.7" right="0.7" top="0.75" bottom="0.75" header="0.3" footer="0.3"/>
  <pageSetup paperSize="9" orientation="landscape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D33"/>
  <sheetViews>
    <sheetView topLeftCell="A13" zoomScale="60" zoomScaleNormal="60" workbookViewId="0">
      <selection activeCell="E33" sqref="E33:J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94" t="s">
        <v>60</v>
      </c>
      <c r="F2" s="94" t="s">
        <v>43</v>
      </c>
      <c r="G2" s="94" t="s">
        <v>44</v>
      </c>
      <c r="H2" s="94" t="s">
        <v>45</v>
      </c>
      <c r="I2" s="29" t="s">
        <v>74</v>
      </c>
      <c r="J2" s="30" t="s">
        <v>46</v>
      </c>
      <c r="K2" s="31" t="s">
        <v>47</v>
      </c>
      <c r="L2" s="94" t="s">
        <v>48</v>
      </c>
      <c r="M2" s="27" t="s">
        <v>25</v>
      </c>
      <c r="N2" s="94" t="s">
        <v>26</v>
      </c>
      <c r="O2" s="32" t="s">
        <v>49</v>
      </c>
    </row>
    <row r="3" spans="1:23" ht="18.75" thickBot="1" x14ac:dyDescent="0.3">
      <c r="A3" s="215">
        <v>46151</v>
      </c>
      <c r="B3" s="26" t="s">
        <v>50</v>
      </c>
      <c r="C3" s="218">
        <v>21</v>
      </c>
      <c r="D3" s="217"/>
      <c r="E3" s="50"/>
      <c r="F3" s="51"/>
      <c r="G3" s="51"/>
      <c r="H3" s="51"/>
      <c r="I3" s="54"/>
      <c r="J3" s="52"/>
      <c r="K3" s="53"/>
      <c r="L3" s="108">
        <v>98664</v>
      </c>
      <c r="M3" s="108">
        <v>7</v>
      </c>
      <c r="N3" s="102"/>
      <c r="O3" s="103"/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240</v>
      </c>
      <c r="J4" s="55" t="s">
        <v>84</v>
      </c>
      <c r="K4" s="56"/>
      <c r="L4" s="108">
        <v>98664</v>
      </c>
      <c r="M4" s="108"/>
      <c r="N4" s="102"/>
      <c r="O4" s="103"/>
    </row>
    <row r="5" spans="1:23" ht="18.75" thickBot="1" x14ac:dyDescent="0.3">
      <c r="A5" s="215">
        <v>46152</v>
      </c>
      <c r="B5" s="26" t="s">
        <v>50</v>
      </c>
      <c r="C5" s="218"/>
      <c r="D5" s="217"/>
      <c r="E5" s="50" t="s">
        <v>83</v>
      </c>
      <c r="F5" s="51">
        <v>0.06</v>
      </c>
      <c r="G5" s="51">
        <v>0.06</v>
      </c>
      <c r="H5" s="51"/>
      <c r="I5" s="54" t="s">
        <v>245</v>
      </c>
      <c r="J5" s="55" t="s">
        <v>84</v>
      </c>
      <c r="K5" s="56" t="s">
        <v>140</v>
      </c>
      <c r="L5" s="108">
        <v>98664</v>
      </c>
      <c r="M5" s="108"/>
      <c r="N5" s="102"/>
      <c r="O5" s="103"/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>
        <v>0.06</v>
      </c>
      <c r="H6" s="51"/>
      <c r="I6" s="54" t="s">
        <v>143</v>
      </c>
      <c r="J6" s="55" t="s">
        <v>84</v>
      </c>
      <c r="K6" s="56"/>
      <c r="L6" s="108">
        <v>98664</v>
      </c>
      <c r="M6" s="108"/>
      <c r="N6" s="102"/>
      <c r="O6" s="103"/>
    </row>
    <row r="7" spans="1:23" ht="18.75" thickBot="1" x14ac:dyDescent="0.3">
      <c r="A7" s="215">
        <v>46153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279</v>
      </c>
      <c r="J7" s="55" t="s">
        <v>84</v>
      </c>
      <c r="K7" s="56"/>
      <c r="L7" s="108">
        <v>98664</v>
      </c>
      <c r="M7" s="108"/>
      <c r="N7" s="102"/>
      <c r="O7" s="103"/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293</v>
      </c>
      <c r="J8" s="55" t="s">
        <v>84</v>
      </c>
      <c r="K8" s="56"/>
      <c r="L8" s="108">
        <v>98664</v>
      </c>
      <c r="M8" s="108"/>
      <c r="N8" s="102"/>
      <c r="O8" s="103"/>
    </row>
    <row r="9" spans="1:23" ht="18.75" thickBot="1" x14ac:dyDescent="0.3">
      <c r="A9" s="215">
        <v>46154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306</v>
      </c>
      <c r="J9" s="55" t="s">
        <v>84</v>
      </c>
      <c r="K9" s="56"/>
      <c r="L9" s="108">
        <v>98664</v>
      </c>
      <c r="M9" s="108"/>
      <c r="N9" s="102"/>
      <c r="O9" s="103"/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312</v>
      </c>
      <c r="J10" s="55" t="s">
        <v>84</v>
      </c>
      <c r="K10" s="56"/>
      <c r="L10" s="108">
        <v>98664</v>
      </c>
      <c r="M10" s="108"/>
      <c r="N10" s="102"/>
      <c r="O10" s="103"/>
    </row>
    <row r="11" spans="1:23" ht="18.75" thickBot="1" x14ac:dyDescent="0.3">
      <c r="A11" s="215">
        <v>46155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252</v>
      </c>
      <c r="J11" s="55" t="s">
        <v>84</v>
      </c>
      <c r="K11" s="56"/>
      <c r="L11" s="108">
        <v>98664</v>
      </c>
      <c r="M11" s="108"/>
      <c r="N11" s="102"/>
      <c r="O11" s="103"/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252</v>
      </c>
      <c r="J12" s="55" t="s">
        <v>84</v>
      </c>
      <c r="K12" s="56"/>
      <c r="L12" s="108">
        <v>98664</v>
      </c>
      <c r="M12" s="108"/>
      <c r="N12" s="102"/>
      <c r="O12" s="103"/>
      <c r="W12" t="s">
        <v>63</v>
      </c>
    </row>
    <row r="13" spans="1:23" ht="18.75" thickBot="1" x14ac:dyDescent="0.3">
      <c r="A13" s="215">
        <v>46156</v>
      </c>
      <c r="B13" s="26" t="s">
        <v>50</v>
      </c>
      <c r="C13" s="218"/>
      <c r="D13" s="217"/>
      <c r="E13" s="50" t="s">
        <v>271</v>
      </c>
      <c r="F13" s="57"/>
      <c r="G13" s="51"/>
      <c r="H13" s="51"/>
      <c r="I13" s="54"/>
      <c r="J13" s="55" t="s">
        <v>84</v>
      </c>
      <c r="K13" s="56"/>
      <c r="L13" s="108">
        <v>98664</v>
      </c>
      <c r="M13" s="108"/>
      <c r="N13" s="102"/>
      <c r="O13" s="103"/>
    </row>
    <row r="14" spans="1:23" ht="18.75" thickBot="1" x14ac:dyDescent="0.3">
      <c r="A14" s="215"/>
      <c r="B14" s="26" t="s">
        <v>51</v>
      </c>
      <c r="C14" s="218"/>
      <c r="D14" s="217"/>
      <c r="E14" s="50" t="s">
        <v>283</v>
      </c>
      <c r="F14" s="57"/>
      <c r="G14" s="51"/>
      <c r="H14" s="51"/>
      <c r="I14" s="54"/>
      <c r="J14" s="55" t="s">
        <v>84</v>
      </c>
      <c r="K14" s="56"/>
      <c r="L14" s="108">
        <v>98664</v>
      </c>
      <c r="M14" s="108"/>
      <c r="N14" s="102"/>
      <c r="O14" s="103"/>
    </row>
    <row r="15" spans="1:23" ht="18.75" thickBot="1" x14ac:dyDescent="0.3">
      <c r="A15" s="215">
        <v>46157</v>
      </c>
      <c r="B15" s="26" t="s">
        <v>50</v>
      </c>
      <c r="C15" s="218"/>
      <c r="D15" s="217"/>
      <c r="E15" s="50" t="s">
        <v>299</v>
      </c>
      <c r="F15" s="57"/>
      <c r="G15" s="58"/>
      <c r="H15" s="51"/>
      <c r="I15" s="54"/>
      <c r="J15" s="55" t="s">
        <v>84</v>
      </c>
      <c r="K15" s="56"/>
      <c r="L15" s="108">
        <v>98664</v>
      </c>
      <c r="M15" s="108"/>
      <c r="N15" s="102"/>
      <c r="O15" s="103"/>
    </row>
    <row r="16" spans="1:23" ht="18.75" thickBot="1" x14ac:dyDescent="0.3">
      <c r="A16" s="215"/>
      <c r="B16" s="26" t="s">
        <v>51</v>
      </c>
      <c r="C16" s="218"/>
      <c r="D16" s="217"/>
      <c r="E16" s="50" t="s">
        <v>309</v>
      </c>
      <c r="F16" s="57"/>
      <c r="G16" s="58"/>
      <c r="H16" s="51"/>
      <c r="I16" s="54"/>
      <c r="J16" s="55" t="s">
        <v>84</v>
      </c>
      <c r="K16" s="56"/>
      <c r="L16" s="108">
        <v>98664</v>
      </c>
      <c r="M16" s="108"/>
      <c r="N16" s="102"/>
      <c r="O16" s="103"/>
    </row>
    <row r="17" spans="1:56" ht="18.75" thickBot="1" x14ac:dyDescent="0.3">
      <c r="A17" s="215">
        <v>46158</v>
      </c>
      <c r="B17" s="26" t="s">
        <v>50</v>
      </c>
      <c r="C17" s="218"/>
      <c r="D17" s="217"/>
      <c r="E17" s="50" t="s">
        <v>314</v>
      </c>
      <c r="F17" s="57"/>
      <c r="G17" s="58"/>
      <c r="H17" s="51"/>
      <c r="I17" s="54"/>
      <c r="J17" s="55" t="s">
        <v>84</v>
      </c>
      <c r="K17" s="56"/>
      <c r="L17" s="108">
        <v>98664</v>
      </c>
      <c r="M17" s="108"/>
      <c r="N17" s="102"/>
      <c r="O17" s="103"/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/>
      <c r="H18" s="51"/>
      <c r="I18" s="54"/>
      <c r="J18" s="55" t="s">
        <v>84</v>
      </c>
      <c r="K18" s="53"/>
      <c r="L18" s="108">
        <v>98664</v>
      </c>
      <c r="M18" s="108"/>
      <c r="N18" s="102"/>
      <c r="O18" s="103"/>
    </row>
    <row r="19" spans="1:56" ht="18.75" thickBot="1" x14ac:dyDescent="0.3">
      <c r="A19" s="215">
        <v>46159</v>
      </c>
      <c r="B19" s="26" t="s">
        <v>50</v>
      </c>
      <c r="C19" s="218"/>
      <c r="D19" s="217"/>
      <c r="E19" s="50" t="s">
        <v>314</v>
      </c>
      <c r="F19" s="57"/>
      <c r="G19" s="58">
        <v>0.03</v>
      </c>
      <c r="H19" s="51"/>
      <c r="I19" s="54"/>
      <c r="J19" s="55" t="s">
        <v>84</v>
      </c>
      <c r="K19" s="53"/>
      <c r="L19" s="108">
        <v>98664</v>
      </c>
      <c r="M19" s="108"/>
      <c r="N19" s="102"/>
      <c r="O19" s="103"/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/>
      <c r="L20" s="108">
        <v>98664</v>
      </c>
      <c r="M20" s="108"/>
      <c r="N20" s="102"/>
      <c r="O20" s="103"/>
    </row>
    <row r="21" spans="1:56" ht="18.75" thickBot="1" x14ac:dyDescent="0.3">
      <c r="A21" s="33"/>
      <c r="B21" s="33"/>
      <c r="C21" s="27"/>
      <c r="D21" s="94" t="s">
        <v>52</v>
      </c>
      <c r="E21" s="59"/>
      <c r="F21" s="59"/>
      <c r="G21" s="59"/>
      <c r="H21" s="59"/>
      <c r="I21" s="59"/>
      <c r="J21" s="77"/>
      <c r="K21" s="61"/>
      <c r="L21" s="108">
        <v>98664</v>
      </c>
      <c r="M21" s="108"/>
      <c r="N21" s="102"/>
      <c r="O21" s="103"/>
    </row>
    <row r="22" spans="1:56" ht="18.75" thickBot="1" x14ac:dyDescent="0.3">
      <c r="A22" s="215">
        <f>A19+1</f>
        <v>46160</v>
      </c>
      <c r="B22" s="26" t="s">
        <v>50</v>
      </c>
      <c r="C22" s="216">
        <v>21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6"/>
      <c r="L22" s="108">
        <v>98664</v>
      </c>
      <c r="M22" s="108"/>
      <c r="N22" s="102"/>
      <c r="O22" s="103"/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08">
        <v>98664</v>
      </c>
      <c r="M23" s="108"/>
      <c r="N23" s="102"/>
      <c r="O23" s="103"/>
    </row>
    <row r="24" spans="1:56" ht="18.75" thickBot="1" x14ac:dyDescent="0.3">
      <c r="A24" s="215">
        <f>A22+1</f>
        <v>46161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08">
        <v>98664</v>
      </c>
      <c r="M24" s="108"/>
      <c r="N24" s="102"/>
      <c r="O24" s="103"/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08">
        <v>98664</v>
      </c>
      <c r="M25" s="108"/>
      <c r="N25" s="102"/>
      <c r="O25" s="103"/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93"/>
      <c r="B26" s="26"/>
      <c r="C26" s="94" t="s">
        <v>53</v>
      </c>
      <c r="D26" s="94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96" t="s">
        <v>48</v>
      </c>
      <c r="M26" s="96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95">
        <v>1</v>
      </c>
      <c r="U26" s="95">
        <v>2</v>
      </c>
      <c r="V26" s="95">
        <v>3</v>
      </c>
      <c r="W26" s="95">
        <v>4</v>
      </c>
      <c r="X26" s="95">
        <v>5</v>
      </c>
      <c r="Y26" s="95">
        <v>6</v>
      </c>
      <c r="Z26" s="95">
        <v>7</v>
      </c>
      <c r="AA26" s="95">
        <v>8</v>
      </c>
      <c r="AB26" s="95">
        <v>9</v>
      </c>
      <c r="AC26" s="95">
        <v>10</v>
      </c>
      <c r="AD26" s="95">
        <v>11</v>
      </c>
      <c r="AE26" s="95">
        <v>12</v>
      </c>
      <c r="AF26" s="95">
        <v>13</v>
      </c>
      <c r="AG26" s="95">
        <v>14</v>
      </c>
      <c r="AH26" s="95">
        <v>15</v>
      </c>
      <c r="AI26" s="95">
        <v>16</v>
      </c>
      <c r="AJ26" s="95">
        <v>17</v>
      </c>
      <c r="AK26" s="95">
        <v>18</v>
      </c>
      <c r="AL26" s="95">
        <v>19</v>
      </c>
      <c r="AM26" s="95">
        <v>20</v>
      </c>
      <c r="AN26" s="95">
        <v>21</v>
      </c>
      <c r="AO26" s="95">
        <v>22</v>
      </c>
      <c r="AP26" s="95">
        <v>23</v>
      </c>
      <c r="AQ26" s="95">
        <v>24</v>
      </c>
      <c r="AR26" s="95">
        <v>25</v>
      </c>
      <c r="AS26" s="95">
        <v>26</v>
      </c>
      <c r="AT26" s="95">
        <v>27</v>
      </c>
      <c r="AU26" s="95">
        <v>28</v>
      </c>
      <c r="AV26" s="95">
        <v>29</v>
      </c>
      <c r="AW26" s="95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46162</v>
      </c>
      <c r="B27" s="26" t="s">
        <v>50</v>
      </c>
      <c r="C27" s="222">
        <v>21</v>
      </c>
      <c r="D27" s="222">
        <v>21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08">
        <v>98664</v>
      </c>
      <c r="M27" s="108"/>
      <c r="N27" s="102"/>
      <c r="O27" s="103"/>
      <c r="P27" s="39">
        <v>85000</v>
      </c>
      <c r="Q27" s="40">
        <f>P27/L27</f>
        <v>0.86150977053433875</v>
      </c>
      <c r="R27" s="40"/>
      <c r="S27" s="40"/>
      <c r="T27" s="41">
        <v>6</v>
      </c>
      <c r="U27" s="41">
        <v>6</v>
      </c>
      <c r="V27" s="41">
        <v>6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7</v>
      </c>
      <c r="AW27" s="41">
        <v>7</v>
      </c>
      <c r="AX27" s="42">
        <f>IF(AW27&gt;0,AVERAGE(T27:AW27),"")</f>
        <v>6.9</v>
      </c>
      <c r="AY27" s="43">
        <f t="shared" ref="AY27:AY33" si="0">IF(AW27&gt;0,STDEV(T27:AW27),"")</f>
        <v>0.30512857662936443</v>
      </c>
      <c r="AZ27" s="42">
        <f>IF(AW27&gt;0,AY27/AX27*100,"")</f>
        <v>4.4221532844835423</v>
      </c>
      <c r="BA27" s="44" t="s">
        <v>67</v>
      </c>
      <c r="BB27" s="45"/>
      <c r="BC27" s="46"/>
      <c r="BD27" s="47">
        <f t="shared" ref="BD27:BD33" si="1">IF(AW27&gt;0,100-AZ27,"")</f>
        <v>95.577846715516458</v>
      </c>
    </row>
    <row r="28" spans="1:56" ht="18.75" thickBot="1" x14ac:dyDescent="0.3">
      <c r="A28" s="38">
        <f>A27+1</f>
        <v>46163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08">
        <v>98664</v>
      </c>
      <c r="M28" s="108"/>
      <c r="N28" s="102"/>
      <c r="O28" s="103"/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7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7.5</v>
      </c>
      <c r="AY28" s="43">
        <f t="shared" si="0"/>
        <v>0.5085476277156078</v>
      </c>
      <c r="AZ28" s="42">
        <f t="shared" ref="AZ28:AZ33" si="3">IF(AW28&gt;0,AY28/AX28*100,"")</f>
        <v>6.7806350362081034</v>
      </c>
      <c r="BA28" s="44" t="s">
        <v>68</v>
      </c>
      <c r="BB28" s="45"/>
      <c r="BC28" s="46"/>
      <c r="BD28" s="47">
        <f t="shared" si="1"/>
        <v>93.21936496379189</v>
      </c>
    </row>
    <row r="29" spans="1:56" ht="18.75" thickBot="1" x14ac:dyDescent="0.3">
      <c r="A29" s="38">
        <f t="shared" ref="A29:A33" si="4">A28+1</f>
        <v>46164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08">
        <v>98664</v>
      </c>
      <c r="M29" s="108"/>
      <c r="N29" s="102"/>
      <c r="O29" s="103"/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8</v>
      </c>
      <c r="AR29" s="41">
        <v>8</v>
      </c>
      <c r="AS29" s="41">
        <v>9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si="2"/>
        <v>8.1666666666666661</v>
      </c>
      <c r="AY29" s="43">
        <f t="shared" si="0"/>
        <v>0.37904902178945171</v>
      </c>
      <c r="AZ29" s="42">
        <f t="shared" si="3"/>
        <v>4.6414165933402254</v>
      </c>
      <c r="BA29" s="44" t="s">
        <v>69</v>
      </c>
      <c r="BB29" s="45"/>
      <c r="BC29" s="46"/>
      <c r="BD29" s="47">
        <f t="shared" si="1"/>
        <v>95.358583406659776</v>
      </c>
    </row>
    <row r="30" spans="1:56" ht="18.75" thickBot="1" x14ac:dyDescent="0.3">
      <c r="A30" s="38">
        <f t="shared" si="4"/>
        <v>46165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08">
        <v>98664</v>
      </c>
      <c r="M30" s="108"/>
      <c r="N30" s="102"/>
      <c r="O30" s="103"/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9</v>
      </c>
      <c r="X30" s="41">
        <v>9</v>
      </c>
      <c r="Y30" s="41">
        <v>9</v>
      </c>
      <c r="Z30" s="41">
        <v>9</v>
      </c>
      <c r="AA30" s="41">
        <v>9</v>
      </c>
      <c r="AB30" s="41">
        <v>9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8.9</v>
      </c>
      <c r="AY30" s="43">
        <f t="shared" si="0"/>
        <v>0.30512857662936443</v>
      </c>
      <c r="AZ30" s="42">
        <f t="shared" si="3"/>
        <v>3.4284109733636452</v>
      </c>
      <c r="BA30" s="44" t="s">
        <v>70</v>
      </c>
      <c r="BB30" s="48"/>
      <c r="BC30" s="46"/>
      <c r="BD30" s="47">
        <f t="shared" si="1"/>
        <v>96.57158902663636</v>
      </c>
    </row>
    <row r="31" spans="1:56" ht="18.75" thickBot="1" x14ac:dyDescent="0.3">
      <c r="A31" s="38">
        <f t="shared" si="4"/>
        <v>46166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08">
        <v>98664</v>
      </c>
      <c r="M31" s="108"/>
      <c r="N31" s="102"/>
      <c r="O31" s="103"/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9</v>
      </c>
      <c r="AM31" s="41">
        <v>9</v>
      </c>
      <c r="AN31" s="41">
        <v>10</v>
      </c>
      <c r="AO31" s="41">
        <v>10</v>
      </c>
      <c r="AP31" s="41">
        <v>10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2"/>
        <v>9.3333333333333339</v>
      </c>
      <c r="AY31" s="43">
        <f t="shared" si="0"/>
        <v>0.47946330148538424</v>
      </c>
      <c r="AZ31" s="42">
        <f t="shared" si="3"/>
        <v>5.137106801629117</v>
      </c>
      <c r="BA31" s="44" t="s">
        <v>71</v>
      </c>
      <c r="BB31" s="48"/>
      <c r="BC31" s="49"/>
      <c r="BD31" s="47">
        <f t="shared" si="1"/>
        <v>94.862893198370884</v>
      </c>
    </row>
    <row r="32" spans="1:56" ht="18.75" thickBot="1" x14ac:dyDescent="0.3">
      <c r="A32" s="38">
        <f t="shared" si="4"/>
        <v>46167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08">
        <v>98664</v>
      </c>
      <c r="M32" s="108"/>
      <c r="N32" s="102"/>
      <c r="O32" s="103"/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10</v>
      </c>
      <c r="AC32" s="41">
        <v>10</v>
      </c>
      <c r="AD32" s="41">
        <v>10</v>
      </c>
      <c r="AE32" s="41">
        <v>10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9.7333333333333325</v>
      </c>
      <c r="AY32" s="43">
        <f t="shared" si="0"/>
        <v>0.44977644510880366</v>
      </c>
      <c r="AZ32" s="42">
        <f t="shared" si="3"/>
        <v>4.6209908744055177</v>
      </c>
      <c r="BA32" s="44" t="s">
        <v>72</v>
      </c>
      <c r="BB32" s="48"/>
      <c r="BC32" s="49"/>
      <c r="BD32" s="47">
        <f t="shared" si="1"/>
        <v>95.379009125594479</v>
      </c>
    </row>
    <row r="33" spans="1:56" ht="18.75" thickBot="1" x14ac:dyDescent="0.3">
      <c r="A33" s="38">
        <f t="shared" si="4"/>
        <v>46168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08">
        <v>98664</v>
      </c>
      <c r="M33" s="108"/>
      <c r="N33" s="102"/>
      <c r="O33" s="103"/>
      <c r="P33" s="40"/>
      <c r="Q33" s="40"/>
      <c r="R33" s="97">
        <v>80100</v>
      </c>
      <c r="S33" s="40">
        <f>R33/L33</f>
        <v>0.81184626611530042</v>
      </c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9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11</v>
      </c>
      <c r="AL33" s="41">
        <v>11</v>
      </c>
      <c r="AM33" s="41">
        <v>11</v>
      </c>
      <c r="AN33" s="41">
        <v>11</v>
      </c>
      <c r="AO33" s="41">
        <v>11</v>
      </c>
      <c r="AP33" s="41">
        <v>11</v>
      </c>
      <c r="AQ33" s="41">
        <v>11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10.166666666666666</v>
      </c>
      <c r="AY33" s="43">
        <f t="shared" si="0"/>
        <v>0.83390784793679362</v>
      </c>
      <c r="AZ33" s="42">
        <f t="shared" si="3"/>
        <v>8.202372274788134</v>
      </c>
      <c r="BA33" s="44" t="s">
        <v>73</v>
      </c>
      <c r="BB33" s="48"/>
      <c r="BC33" s="49"/>
      <c r="BD33" s="47">
        <f t="shared" si="1"/>
        <v>91.797627725211868</v>
      </c>
    </row>
  </sheetData>
  <mergeCells count="30"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E26:F26"/>
    <mergeCell ref="A19:A20"/>
    <mergeCell ref="A22:A23"/>
    <mergeCell ref="C22:C25"/>
    <mergeCell ref="A24:A25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</mergeCells>
  <pageMargins left="0.7" right="0.7" top="0.75" bottom="0.75" header="0.3" footer="0.3"/>
  <pageSetup paperSize="9" orientation="landscape" horizontalDpi="360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D33"/>
  <sheetViews>
    <sheetView topLeftCell="J10" zoomScale="60" zoomScaleNormal="60" workbookViewId="0">
      <selection activeCell="R33" sqref="R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46151</v>
      </c>
      <c r="B3" s="26" t="s">
        <v>50</v>
      </c>
      <c r="C3" s="218">
        <v>22</v>
      </c>
      <c r="D3" s="217"/>
      <c r="E3" s="50"/>
      <c r="F3" s="51"/>
      <c r="G3" s="51"/>
      <c r="H3" s="51"/>
      <c r="I3" s="54"/>
      <c r="J3" s="52"/>
      <c r="K3" s="53"/>
      <c r="L3" s="108">
        <v>98831</v>
      </c>
      <c r="M3" s="108">
        <v>7</v>
      </c>
      <c r="N3" s="102"/>
      <c r="O3" s="103"/>
    </row>
    <row r="4" spans="1:23" ht="18.75" thickBot="1" x14ac:dyDescent="0.3">
      <c r="A4" s="215"/>
      <c r="B4" s="26" t="s">
        <v>51</v>
      </c>
      <c r="C4" s="218"/>
      <c r="D4" s="217"/>
      <c r="E4" s="50" t="s">
        <v>83</v>
      </c>
      <c r="F4" s="51"/>
      <c r="G4" s="51"/>
      <c r="H4" s="51"/>
      <c r="I4" s="54" t="s">
        <v>241</v>
      </c>
      <c r="J4" s="55" t="s">
        <v>84</v>
      </c>
      <c r="K4" s="56"/>
      <c r="L4" s="108">
        <v>98831</v>
      </c>
      <c r="M4" s="108"/>
      <c r="N4" s="102"/>
      <c r="O4" s="103"/>
    </row>
    <row r="5" spans="1:23" ht="18.75" thickBot="1" x14ac:dyDescent="0.3">
      <c r="A5" s="215">
        <v>46152</v>
      </c>
      <c r="B5" s="26" t="s">
        <v>50</v>
      </c>
      <c r="C5" s="218"/>
      <c r="D5" s="217"/>
      <c r="E5" s="50" t="s">
        <v>83</v>
      </c>
      <c r="F5" s="51">
        <v>0.06</v>
      </c>
      <c r="G5" s="51">
        <v>0.06</v>
      </c>
      <c r="H5" s="51"/>
      <c r="I5" s="54" t="s">
        <v>246</v>
      </c>
      <c r="J5" s="55" t="s">
        <v>84</v>
      </c>
      <c r="K5" s="56" t="s">
        <v>140</v>
      </c>
      <c r="L5" s="108">
        <v>98831</v>
      </c>
      <c r="M5" s="108"/>
      <c r="N5" s="102"/>
      <c r="O5" s="103"/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144</v>
      </c>
      <c r="J6" s="55" t="s">
        <v>84</v>
      </c>
      <c r="K6" s="56"/>
      <c r="L6" s="108">
        <v>98831</v>
      </c>
      <c r="M6" s="108"/>
      <c r="N6" s="102"/>
      <c r="O6" s="103"/>
    </row>
    <row r="7" spans="1:23" ht="18.75" thickBot="1" x14ac:dyDescent="0.3">
      <c r="A7" s="215">
        <v>46153</v>
      </c>
      <c r="B7" s="26" t="s">
        <v>50</v>
      </c>
      <c r="C7" s="218"/>
      <c r="D7" s="217"/>
      <c r="E7" s="50" t="s">
        <v>167</v>
      </c>
      <c r="F7" s="51"/>
      <c r="G7" s="51"/>
      <c r="H7" s="51"/>
      <c r="I7" s="54" t="s">
        <v>280</v>
      </c>
      <c r="J7" s="55" t="s">
        <v>84</v>
      </c>
      <c r="K7" s="56"/>
      <c r="L7" s="108">
        <v>98831</v>
      </c>
      <c r="M7" s="108"/>
      <c r="N7" s="102"/>
      <c r="O7" s="103"/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204</v>
      </c>
      <c r="J8" s="55" t="s">
        <v>84</v>
      </c>
      <c r="K8" s="56"/>
      <c r="L8" s="108">
        <v>98831</v>
      </c>
      <c r="M8" s="108"/>
      <c r="N8" s="102"/>
      <c r="O8" s="103"/>
    </row>
    <row r="9" spans="1:23" ht="18.75" thickBot="1" x14ac:dyDescent="0.3">
      <c r="A9" s="215">
        <v>46154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256</v>
      </c>
      <c r="J9" s="55" t="s">
        <v>84</v>
      </c>
      <c r="K9" s="56"/>
      <c r="L9" s="108">
        <v>98831</v>
      </c>
      <c r="M9" s="108"/>
      <c r="N9" s="102"/>
      <c r="O9" s="103"/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252</v>
      </c>
      <c r="J10" s="55" t="s">
        <v>84</v>
      </c>
      <c r="K10" s="56"/>
      <c r="L10" s="108">
        <v>98831</v>
      </c>
      <c r="M10" s="108"/>
      <c r="N10" s="102"/>
      <c r="O10" s="103"/>
    </row>
    <row r="11" spans="1:23" ht="18.75" thickBot="1" x14ac:dyDescent="0.3">
      <c r="A11" s="215">
        <v>46155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320</v>
      </c>
      <c r="J11" s="55" t="s">
        <v>84</v>
      </c>
      <c r="K11" s="56"/>
      <c r="L11" s="108">
        <v>98831</v>
      </c>
      <c r="M11" s="108"/>
      <c r="N11" s="102"/>
      <c r="O11" s="103"/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253</v>
      </c>
      <c r="J12" s="55" t="s">
        <v>84</v>
      </c>
      <c r="K12" s="56"/>
      <c r="L12" s="108">
        <v>98831</v>
      </c>
      <c r="M12" s="108"/>
      <c r="N12" s="102"/>
      <c r="O12" s="103"/>
      <c r="W12" t="s">
        <v>63</v>
      </c>
    </row>
    <row r="13" spans="1:23" ht="18.75" thickBot="1" x14ac:dyDescent="0.3">
      <c r="A13" s="215">
        <v>46156</v>
      </c>
      <c r="B13" s="26" t="s">
        <v>50</v>
      </c>
      <c r="C13" s="218"/>
      <c r="D13" s="217"/>
      <c r="E13" s="50" t="s">
        <v>329</v>
      </c>
      <c r="F13" s="57"/>
      <c r="G13" s="51"/>
      <c r="H13" s="51"/>
      <c r="I13" s="54"/>
      <c r="J13" s="55" t="s">
        <v>84</v>
      </c>
      <c r="K13" s="56"/>
      <c r="L13" s="108">
        <v>98831</v>
      </c>
      <c r="M13" s="108"/>
      <c r="N13" s="102"/>
      <c r="O13" s="103"/>
    </row>
    <row r="14" spans="1:23" ht="18.75" thickBot="1" x14ac:dyDescent="0.3">
      <c r="A14" s="215"/>
      <c r="B14" s="26" t="s">
        <v>51</v>
      </c>
      <c r="C14" s="218"/>
      <c r="D14" s="217"/>
      <c r="E14" s="50" t="s">
        <v>287</v>
      </c>
      <c r="F14" s="57"/>
      <c r="G14" s="51"/>
      <c r="H14" s="51"/>
      <c r="I14" s="54"/>
      <c r="J14" s="55" t="s">
        <v>84</v>
      </c>
      <c r="K14" s="56"/>
      <c r="L14" s="108">
        <v>98831</v>
      </c>
      <c r="M14" s="108"/>
      <c r="N14" s="102"/>
      <c r="O14" s="103"/>
    </row>
    <row r="15" spans="1:23" ht="18.75" thickBot="1" x14ac:dyDescent="0.3">
      <c r="A15" s="215">
        <v>46157</v>
      </c>
      <c r="B15" s="26" t="s">
        <v>50</v>
      </c>
      <c r="C15" s="218"/>
      <c r="D15" s="217"/>
      <c r="E15" s="50" t="s">
        <v>301</v>
      </c>
      <c r="F15" s="57"/>
      <c r="G15" s="58"/>
      <c r="H15" s="51"/>
      <c r="I15" s="54"/>
      <c r="J15" s="55" t="s">
        <v>84</v>
      </c>
      <c r="K15" s="56"/>
      <c r="L15" s="108">
        <v>98831</v>
      </c>
      <c r="M15" s="108"/>
      <c r="N15" s="102"/>
      <c r="O15" s="103"/>
    </row>
    <row r="16" spans="1:23" ht="18.75" thickBot="1" x14ac:dyDescent="0.3">
      <c r="A16" s="215"/>
      <c r="B16" s="26" t="s">
        <v>51</v>
      </c>
      <c r="C16" s="218"/>
      <c r="D16" s="217"/>
      <c r="E16" s="50" t="s">
        <v>298</v>
      </c>
      <c r="F16" s="57">
        <v>0.03</v>
      </c>
      <c r="G16" s="58"/>
      <c r="H16" s="51"/>
      <c r="I16" s="54"/>
      <c r="J16" s="55" t="s">
        <v>84</v>
      </c>
      <c r="K16" s="56" t="s">
        <v>324</v>
      </c>
      <c r="L16" s="108">
        <v>98831</v>
      </c>
      <c r="M16" s="108"/>
      <c r="N16" s="102"/>
      <c r="O16" s="103"/>
    </row>
    <row r="17" spans="1:56" ht="18.75" thickBot="1" x14ac:dyDescent="0.3">
      <c r="A17" s="215">
        <v>46158</v>
      </c>
      <c r="B17" s="26" t="s">
        <v>50</v>
      </c>
      <c r="C17" s="218"/>
      <c r="D17" s="217"/>
      <c r="E17" s="50" t="s">
        <v>314</v>
      </c>
      <c r="F17" s="57"/>
      <c r="G17" s="58">
        <v>0.03</v>
      </c>
      <c r="H17" s="51"/>
      <c r="I17" s="54"/>
      <c r="J17" s="55" t="s">
        <v>84</v>
      </c>
      <c r="K17" s="56"/>
      <c r="L17" s="108">
        <v>98831</v>
      </c>
      <c r="M17" s="108"/>
      <c r="N17" s="102"/>
      <c r="O17" s="103"/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/>
      <c r="G18" s="58"/>
      <c r="H18" s="51"/>
      <c r="I18" s="54"/>
      <c r="J18" s="55" t="s">
        <v>84</v>
      </c>
      <c r="K18" s="53"/>
      <c r="L18" s="108">
        <v>98831</v>
      </c>
      <c r="M18" s="108"/>
      <c r="N18" s="102"/>
      <c r="O18" s="103"/>
    </row>
    <row r="19" spans="1:56" ht="18.75" thickBot="1" x14ac:dyDescent="0.3">
      <c r="A19" s="215">
        <v>46159</v>
      </c>
      <c r="B19" s="26" t="s">
        <v>50</v>
      </c>
      <c r="C19" s="218"/>
      <c r="D19" s="217"/>
      <c r="E19" s="50" t="s">
        <v>314</v>
      </c>
      <c r="F19" s="57"/>
      <c r="G19" s="58">
        <v>0.06</v>
      </c>
      <c r="H19" s="51"/>
      <c r="I19" s="54"/>
      <c r="J19" s="55" t="s">
        <v>84</v>
      </c>
      <c r="K19" s="53"/>
      <c r="L19" s="108">
        <v>98831</v>
      </c>
      <c r="M19" s="108"/>
      <c r="N19" s="102"/>
      <c r="O19" s="103"/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/>
      <c r="L20" s="108">
        <v>98831</v>
      </c>
      <c r="M20" s="108"/>
      <c r="N20" s="102"/>
      <c r="O20" s="103"/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08">
        <v>98831</v>
      </c>
      <c r="M21" s="108"/>
      <c r="N21" s="102"/>
      <c r="O21" s="103"/>
    </row>
    <row r="22" spans="1:56" ht="18.75" thickBot="1" x14ac:dyDescent="0.3">
      <c r="A22" s="215">
        <f>A19+1</f>
        <v>46160</v>
      </c>
      <c r="B22" s="26" t="s">
        <v>50</v>
      </c>
      <c r="C22" s="216">
        <v>22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6"/>
      <c r="L22" s="108">
        <v>98831</v>
      </c>
      <c r="M22" s="108"/>
      <c r="N22" s="102"/>
      <c r="O22" s="103"/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>
        <v>0.03</v>
      </c>
      <c r="H23" s="51"/>
      <c r="I23" s="54"/>
      <c r="J23" s="55" t="s">
        <v>84</v>
      </c>
      <c r="K23" s="56"/>
      <c r="L23" s="108">
        <v>98831</v>
      </c>
      <c r="M23" s="108"/>
      <c r="N23" s="102"/>
      <c r="O23" s="103"/>
    </row>
    <row r="24" spans="1:56" ht="18.75" thickBot="1" x14ac:dyDescent="0.3">
      <c r="A24" s="215">
        <f>A22+1</f>
        <v>46161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08">
        <v>98831</v>
      </c>
      <c r="M24" s="108"/>
      <c r="N24" s="102"/>
      <c r="O24" s="103"/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08">
        <v>98831</v>
      </c>
      <c r="M25" s="108"/>
      <c r="N25" s="102"/>
      <c r="O25" s="103"/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46162</v>
      </c>
      <c r="B27" s="26" t="s">
        <v>50</v>
      </c>
      <c r="C27" s="222">
        <v>22</v>
      </c>
      <c r="D27" s="222">
        <v>22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08">
        <v>98831</v>
      </c>
      <c r="M27" s="108"/>
      <c r="N27" s="102"/>
      <c r="O27" s="103"/>
      <c r="P27" s="39">
        <v>81000</v>
      </c>
      <c r="Q27" s="40">
        <f>P27/L27</f>
        <v>0.81958090072952816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8</v>
      </c>
      <c r="AU27" s="41">
        <v>8</v>
      </c>
      <c r="AV27" s="41">
        <v>8</v>
      </c>
      <c r="AW27" s="41">
        <v>8</v>
      </c>
      <c r="AX27" s="42">
        <f>IF(AW27&gt;0,AVERAGE(T27:AW27),"")</f>
        <v>7.1333333333333337</v>
      </c>
      <c r="AY27" s="43">
        <f t="shared" ref="AY27:AY33" si="0">IF(AW27&gt;0,STDEV(T27:AW27),"")</f>
        <v>0.34574590364176039</v>
      </c>
      <c r="AZ27" s="42">
        <f>IF(AW27&gt;0,AY27/AX27*100,"")</f>
        <v>4.8469051912396308</v>
      </c>
      <c r="BA27" s="44" t="s">
        <v>67</v>
      </c>
      <c r="BB27" s="45"/>
      <c r="BC27" s="46"/>
      <c r="BD27" s="47">
        <f t="shared" ref="BD27:BD33" si="1">IF(AW27&gt;0,100-AZ27,"")</f>
        <v>95.153094808760372</v>
      </c>
    </row>
    <row r="28" spans="1:56" ht="18.75" thickBot="1" x14ac:dyDescent="0.3">
      <c r="A28" s="38">
        <f>A27+1</f>
        <v>46163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08">
        <v>98831</v>
      </c>
      <c r="M28" s="108"/>
      <c r="N28" s="102"/>
      <c r="O28" s="103"/>
      <c r="P28" s="40"/>
      <c r="Q28" s="40"/>
      <c r="R28" s="40"/>
      <c r="S28" s="40"/>
      <c r="T28" s="41">
        <v>8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8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7.6</v>
      </c>
      <c r="AY28" s="43">
        <f t="shared" si="0"/>
        <v>0.49827287912243973</v>
      </c>
      <c r="AZ28" s="42">
        <f t="shared" ref="AZ28:AZ33" si="3">IF(AW28&gt;0,AY28/AX28*100,"")</f>
        <v>6.5562220937163129</v>
      </c>
      <c r="BA28" s="44" t="s">
        <v>68</v>
      </c>
      <c r="BB28" s="45"/>
      <c r="BC28" s="46"/>
      <c r="BD28" s="47">
        <f t="shared" si="1"/>
        <v>93.443777906283685</v>
      </c>
    </row>
    <row r="29" spans="1:56" ht="18.75" thickBot="1" x14ac:dyDescent="0.3">
      <c r="A29" s="38">
        <f t="shared" ref="A29:A33" si="4">A28+1</f>
        <v>46164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08">
        <v>98831</v>
      </c>
      <c r="M29" s="108"/>
      <c r="N29" s="102"/>
      <c r="O29" s="103"/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9</v>
      </c>
      <c r="AM29" s="41">
        <v>9</v>
      </c>
      <c r="AN29" s="41">
        <v>9</v>
      </c>
      <c r="AO29" s="41">
        <v>9</v>
      </c>
      <c r="AP29" s="41">
        <v>9</v>
      </c>
      <c r="AQ29" s="41">
        <v>9</v>
      </c>
      <c r="AR29" s="41">
        <v>9</v>
      </c>
      <c r="AS29" s="41">
        <v>9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si="2"/>
        <v>8.4</v>
      </c>
      <c r="AY29" s="43">
        <f t="shared" si="0"/>
        <v>0.49827287912243973</v>
      </c>
      <c r="AZ29" s="42">
        <f t="shared" si="3"/>
        <v>5.9318199895528538</v>
      </c>
      <c r="BA29" s="44" t="s">
        <v>69</v>
      </c>
      <c r="BB29" s="45"/>
      <c r="BC29" s="46"/>
      <c r="BD29" s="47">
        <f t="shared" si="1"/>
        <v>94.068180010447151</v>
      </c>
    </row>
    <row r="30" spans="1:56" ht="18.75" thickBot="1" x14ac:dyDescent="0.3">
      <c r="A30" s="38">
        <f t="shared" si="4"/>
        <v>46165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08">
        <v>98831</v>
      </c>
      <c r="M30" s="108"/>
      <c r="N30" s="102"/>
      <c r="O30" s="103"/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9</v>
      </c>
      <c r="Y30" s="41">
        <v>9</v>
      </c>
      <c r="Z30" s="41">
        <v>9</v>
      </c>
      <c r="AA30" s="41">
        <v>9</v>
      </c>
      <c r="AB30" s="41">
        <v>9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8.8666666666666671</v>
      </c>
      <c r="AY30" s="43">
        <f t="shared" si="0"/>
        <v>0.34574590364176017</v>
      </c>
      <c r="AZ30" s="42">
        <f t="shared" si="3"/>
        <v>3.8993898906965434</v>
      </c>
      <c r="BA30" s="44" t="s">
        <v>70</v>
      </c>
      <c r="BB30" s="48"/>
      <c r="BC30" s="46"/>
      <c r="BD30" s="47">
        <f t="shared" si="1"/>
        <v>96.10061010930346</v>
      </c>
    </row>
    <row r="31" spans="1:56" ht="18.75" thickBot="1" x14ac:dyDescent="0.3">
      <c r="A31" s="38">
        <f t="shared" si="4"/>
        <v>46166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08">
        <v>98831</v>
      </c>
      <c r="M31" s="108"/>
      <c r="N31" s="102"/>
      <c r="O31" s="103"/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9</v>
      </c>
      <c r="AL31" s="41">
        <v>10</v>
      </c>
      <c r="AM31" s="41">
        <v>10</v>
      </c>
      <c r="AN31" s="41">
        <v>10</v>
      </c>
      <c r="AO31" s="41">
        <v>10</v>
      </c>
      <c r="AP31" s="41">
        <v>10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2"/>
        <v>9.4</v>
      </c>
      <c r="AY31" s="43">
        <f t="shared" si="0"/>
        <v>0.49827287912243973</v>
      </c>
      <c r="AZ31" s="42">
        <f t="shared" si="3"/>
        <v>5.3007753098131882</v>
      </c>
      <c r="BA31" s="44" t="s">
        <v>71</v>
      </c>
      <c r="BB31" s="48"/>
      <c r="BC31" s="49"/>
      <c r="BD31" s="47">
        <f t="shared" si="1"/>
        <v>94.69922469018681</v>
      </c>
    </row>
    <row r="32" spans="1:56" ht="18.75" thickBot="1" x14ac:dyDescent="0.3">
      <c r="A32" s="38">
        <f t="shared" si="4"/>
        <v>46167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08">
        <v>98831</v>
      </c>
      <c r="M32" s="108"/>
      <c r="N32" s="102"/>
      <c r="O32" s="103"/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10</v>
      </c>
      <c r="AE32" s="41">
        <v>10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9.6666666666666661</v>
      </c>
      <c r="AY32" s="43">
        <f t="shared" si="0"/>
        <v>0.47946330148538424</v>
      </c>
      <c r="AZ32" s="42">
        <f t="shared" si="3"/>
        <v>4.9599651877798374</v>
      </c>
      <c r="BA32" s="44" t="s">
        <v>72</v>
      </c>
      <c r="BB32" s="48"/>
      <c r="BC32" s="49"/>
      <c r="BD32" s="47">
        <f t="shared" si="1"/>
        <v>95.040034812220156</v>
      </c>
    </row>
    <row r="33" spans="1:56" ht="18.75" thickBot="1" x14ac:dyDescent="0.3">
      <c r="A33" s="38">
        <f t="shared" si="4"/>
        <v>46168</v>
      </c>
      <c r="B33" s="26" t="s">
        <v>50</v>
      </c>
      <c r="C33" s="224"/>
      <c r="D33" s="224"/>
      <c r="E33" s="219"/>
      <c r="F33" s="220"/>
      <c r="G33" s="51"/>
      <c r="H33" s="51"/>
      <c r="I33" s="51"/>
      <c r="J33" s="55"/>
      <c r="K33" s="56"/>
      <c r="L33" s="108">
        <v>98831</v>
      </c>
      <c r="M33" s="108"/>
      <c r="N33" s="102"/>
      <c r="O33" s="103"/>
      <c r="P33" s="40"/>
      <c r="Q33" s="40"/>
      <c r="R33" s="97">
        <v>76800</v>
      </c>
      <c r="S33" s="40">
        <f>R33/L33</f>
        <v>0.77708411328429339</v>
      </c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2" t="str">
        <f t="shared" si="2"/>
        <v/>
      </c>
      <c r="AY33" s="43" t="str">
        <f t="shared" si="0"/>
        <v/>
      </c>
      <c r="AZ33" s="42" t="str">
        <f t="shared" si="3"/>
        <v/>
      </c>
      <c r="BA33" s="44" t="s">
        <v>73</v>
      </c>
      <c r="BB33" s="48"/>
      <c r="BC33" s="49"/>
      <c r="BD33" s="47" t="str">
        <f t="shared" si="1"/>
        <v/>
      </c>
    </row>
  </sheetData>
  <mergeCells count="30"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E26:F26"/>
    <mergeCell ref="A19:A20"/>
    <mergeCell ref="A22:A23"/>
    <mergeCell ref="C22:C25"/>
    <mergeCell ref="A24:A25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D33"/>
  <sheetViews>
    <sheetView topLeftCell="J10" zoomScale="60" zoomScaleNormal="60" workbookViewId="0">
      <selection activeCell="R33" sqref="R33:S33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46151</v>
      </c>
      <c r="B3" s="26" t="s">
        <v>50</v>
      </c>
      <c r="C3" s="218">
        <v>23</v>
      </c>
      <c r="D3" s="217"/>
      <c r="E3" s="50"/>
      <c r="F3" s="51"/>
      <c r="G3" s="51"/>
      <c r="H3" s="51"/>
      <c r="I3" s="54"/>
      <c r="J3" s="52"/>
      <c r="K3" s="53"/>
      <c r="L3" s="108">
        <v>100666</v>
      </c>
      <c r="M3" s="108">
        <v>8</v>
      </c>
      <c r="N3" s="102"/>
      <c r="O3" s="103"/>
    </row>
    <row r="4" spans="1:23" ht="18.75" thickBot="1" x14ac:dyDescent="0.3">
      <c r="A4" s="215"/>
      <c r="B4" s="26" t="s">
        <v>51</v>
      </c>
      <c r="C4" s="218"/>
      <c r="D4" s="217"/>
      <c r="E4" s="50" t="s">
        <v>242</v>
      </c>
      <c r="F4" s="51">
        <v>0.1</v>
      </c>
      <c r="G4" s="51"/>
      <c r="H4" s="51"/>
      <c r="I4" s="54" t="s">
        <v>142</v>
      </c>
      <c r="J4" s="55" t="s">
        <v>84</v>
      </c>
      <c r="K4" s="56" t="s">
        <v>93</v>
      </c>
      <c r="L4" s="108">
        <v>100666</v>
      </c>
      <c r="M4" s="108"/>
      <c r="N4" s="102"/>
      <c r="O4" s="103"/>
    </row>
    <row r="5" spans="1:23" ht="18.75" thickBot="1" x14ac:dyDescent="0.3">
      <c r="A5" s="215">
        <v>46152</v>
      </c>
      <c r="B5" s="26" t="s">
        <v>50</v>
      </c>
      <c r="C5" s="218"/>
      <c r="D5" s="217"/>
      <c r="E5" s="50" t="s">
        <v>83</v>
      </c>
      <c r="F5" s="51"/>
      <c r="G5" s="51"/>
      <c r="H5" s="51"/>
      <c r="I5" s="54" t="s">
        <v>247</v>
      </c>
      <c r="J5" s="55" t="s">
        <v>84</v>
      </c>
      <c r="K5" s="56"/>
      <c r="L5" s="108">
        <v>100666</v>
      </c>
      <c r="M5" s="108"/>
      <c r="N5" s="102"/>
      <c r="O5" s="103"/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248</v>
      </c>
      <c r="J6" s="55" t="s">
        <v>84</v>
      </c>
      <c r="K6" s="56"/>
      <c r="L6" s="108">
        <v>100666</v>
      </c>
      <c r="M6" s="108"/>
      <c r="N6" s="102"/>
      <c r="O6" s="103"/>
    </row>
    <row r="7" spans="1:23" ht="18.75" thickBot="1" x14ac:dyDescent="0.3">
      <c r="A7" s="215">
        <v>46153</v>
      </c>
      <c r="B7" s="26" t="s">
        <v>50</v>
      </c>
      <c r="C7" s="218"/>
      <c r="D7" s="217"/>
      <c r="E7" s="50" t="s">
        <v>167</v>
      </c>
      <c r="F7" s="51"/>
      <c r="G7" s="51">
        <v>0.03</v>
      </c>
      <c r="H7" s="51"/>
      <c r="I7" s="54" t="s">
        <v>281</v>
      </c>
      <c r="J7" s="55" t="s">
        <v>84</v>
      </c>
      <c r="K7" s="56"/>
      <c r="L7" s="108">
        <v>100666</v>
      </c>
      <c r="M7" s="108"/>
      <c r="N7" s="102"/>
      <c r="O7" s="103"/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203</v>
      </c>
      <c r="J8" s="55" t="s">
        <v>84</v>
      </c>
      <c r="K8" s="56"/>
      <c r="L8" s="108">
        <v>100666</v>
      </c>
      <c r="M8" s="108"/>
      <c r="N8" s="102"/>
      <c r="O8" s="103"/>
    </row>
    <row r="9" spans="1:23" ht="18.75" thickBot="1" x14ac:dyDescent="0.3">
      <c r="A9" s="215">
        <v>46154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307</v>
      </c>
      <c r="J9" s="55" t="s">
        <v>84</v>
      </c>
      <c r="K9" s="56"/>
      <c r="L9" s="108">
        <v>100666</v>
      </c>
      <c r="M9" s="108"/>
      <c r="N9" s="102"/>
      <c r="O9" s="103"/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254</v>
      </c>
      <c r="J10" s="55" t="s">
        <v>84</v>
      </c>
      <c r="K10" s="56"/>
      <c r="L10" s="108">
        <v>100666</v>
      </c>
      <c r="M10" s="108"/>
      <c r="N10" s="102"/>
      <c r="O10" s="103"/>
    </row>
    <row r="11" spans="1:23" ht="18.75" thickBot="1" x14ac:dyDescent="0.3">
      <c r="A11" s="215">
        <v>46155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199</v>
      </c>
      <c r="J11" s="55" t="s">
        <v>84</v>
      </c>
      <c r="K11" s="56"/>
      <c r="L11" s="108">
        <v>100666</v>
      </c>
      <c r="M11" s="108"/>
      <c r="N11" s="102"/>
      <c r="O11" s="103"/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256</v>
      </c>
      <c r="J12" s="55" t="s">
        <v>84</v>
      </c>
      <c r="K12" s="56"/>
      <c r="L12" s="108">
        <v>100666</v>
      </c>
      <c r="M12" s="108"/>
      <c r="N12" s="102"/>
      <c r="O12" s="103"/>
      <c r="W12" t="s">
        <v>63</v>
      </c>
    </row>
    <row r="13" spans="1:23" ht="18.75" thickBot="1" x14ac:dyDescent="0.3">
      <c r="A13" s="215">
        <v>46156</v>
      </c>
      <c r="B13" s="26" t="s">
        <v>50</v>
      </c>
      <c r="C13" s="218"/>
      <c r="D13" s="217"/>
      <c r="E13" s="50" t="s">
        <v>273</v>
      </c>
      <c r="F13" s="57"/>
      <c r="G13" s="51"/>
      <c r="H13" s="51"/>
      <c r="I13" s="54"/>
      <c r="J13" s="55" t="s">
        <v>84</v>
      </c>
      <c r="K13" s="56"/>
      <c r="L13" s="108">
        <v>100666</v>
      </c>
      <c r="M13" s="108"/>
      <c r="N13" s="102"/>
      <c r="O13" s="103"/>
    </row>
    <row r="14" spans="1:23" ht="18.75" thickBot="1" x14ac:dyDescent="0.3">
      <c r="A14" s="215"/>
      <c r="B14" s="26" t="s">
        <v>51</v>
      </c>
      <c r="C14" s="218"/>
      <c r="D14" s="217"/>
      <c r="E14" s="50" t="s">
        <v>285</v>
      </c>
      <c r="F14" s="57"/>
      <c r="G14" s="51"/>
      <c r="H14" s="51"/>
      <c r="I14" s="54"/>
      <c r="J14" s="55" t="s">
        <v>84</v>
      </c>
      <c r="K14" s="56"/>
      <c r="L14" s="108">
        <v>100666</v>
      </c>
      <c r="M14" s="108"/>
      <c r="N14" s="102"/>
      <c r="O14" s="103"/>
    </row>
    <row r="15" spans="1:23" ht="18.75" thickBot="1" x14ac:dyDescent="0.3">
      <c r="A15" s="215">
        <v>46157</v>
      </c>
      <c r="B15" s="26" t="s">
        <v>50</v>
      </c>
      <c r="C15" s="218"/>
      <c r="D15" s="217"/>
      <c r="E15" s="50" t="s">
        <v>299</v>
      </c>
      <c r="F15" s="57"/>
      <c r="G15" s="58"/>
      <c r="H15" s="51"/>
      <c r="I15" s="54"/>
      <c r="J15" s="55" t="s">
        <v>84</v>
      </c>
      <c r="K15" s="56"/>
      <c r="L15" s="108">
        <v>100666</v>
      </c>
      <c r="M15" s="108"/>
      <c r="N15" s="102"/>
      <c r="O15" s="103"/>
    </row>
    <row r="16" spans="1:23" ht="18.75" thickBot="1" x14ac:dyDescent="0.3">
      <c r="A16" s="215"/>
      <c r="B16" s="26" t="s">
        <v>51</v>
      </c>
      <c r="C16" s="218"/>
      <c r="D16" s="217"/>
      <c r="E16" s="50" t="s">
        <v>300</v>
      </c>
      <c r="F16" s="57"/>
      <c r="G16" s="58"/>
      <c r="H16" s="51"/>
      <c r="I16" s="54"/>
      <c r="J16" s="55" t="s">
        <v>84</v>
      </c>
      <c r="K16" s="56"/>
      <c r="L16" s="108">
        <v>100666</v>
      </c>
      <c r="M16" s="108"/>
      <c r="N16" s="102"/>
      <c r="O16" s="103"/>
    </row>
    <row r="17" spans="1:56" ht="18.75" thickBot="1" x14ac:dyDescent="0.3">
      <c r="A17" s="215">
        <v>46158</v>
      </c>
      <c r="B17" s="26" t="s">
        <v>50</v>
      </c>
      <c r="C17" s="218"/>
      <c r="D17" s="217"/>
      <c r="E17" s="50" t="s">
        <v>314</v>
      </c>
      <c r="F17" s="57"/>
      <c r="G17" s="58">
        <v>0.03</v>
      </c>
      <c r="H17" s="51"/>
      <c r="I17" s="54"/>
      <c r="J17" s="55" t="s">
        <v>84</v>
      </c>
      <c r="K17" s="56"/>
      <c r="L17" s="108">
        <v>100666</v>
      </c>
      <c r="M17" s="108"/>
      <c r="N17" s="102"/>
      <c r="O17" s="103"/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>
        <v>0.03</v>
      </c>
      <c r="G18" s="58"/>
      <c r="H18" s="51"/>
      <c r="I18" s="54"/>
      <c r="J18" s="55" t="s">
        <v>84</v>
      </c>
      <c r="K18" s="53" t="s">
        <v>51</v>
      </c>
      <c r="L18" s="108">
        <v>100666</v>
      </c>
      <c r="M18" s="108"/>
      <c r="N18" s="102"/>
      <c r="O18" s="103"/>
    </row>
    <row r="19" spans="1:56" ht="18.75" thickBot="1" x14ac:dyDescent="0.3">
      <c r="A19" s="215">
        <v>46159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3"/>
      <c r="L19" s="108">
        <v>100666</v>
      </c>
      <c r="M19" s="108"/>
      <c r="N19" s="102"/>
      <c r="O19" s="103"/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/>
      <c r="G20" s="58"/>
      <c r="H20" s="51"/>
      <c r="I20" s="54"/>
      <c r="J20" s="55" t="s">
        <v>84</v>
      </c>
      <c r="K20" s="56"/>
      <c r="L20" s="108">
        <v>100666</v>
      </c>
      <c r="M20" s="108"/>
      <c r="N20" s="102"/>
      <c r="O20" s="103"/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08">
        <v>100666</v>
      </c>
      <c r="M21" s="108"/>
      <c r="N21" s="102"/>
      <c r="O21" s="103"/>
    </row>
    <row r="22" spans="1:56" ht="18.75" thickBot="1" x14ac:dyDescent="0.3">
      <c r="A22" s="215">
        <f>A19+1</f>
        <v>46160</v>
      </c>
      <c r="B22" s="26" t="s">
        <v>50</v>
      </c>
      <c r="C22" s="216">
        <v>23</v>
      </c>
      <c r="D22" s="34"/>
      <c r="E22" s="50" t="s">
        <v>314</v>
      </c>
      <c r="F22" s="57"/>
      <c r="G22" s="58">
        <v>0.03</v>
      </c>
      <c r="H22" s="51"/>
      <c r="I22" s="54"/>
      <c r="J22" s="55" t="s">
        <v>84</v>
      </c>
      <c r="K22" s="56"/>
      <c r="L22" s="108">
        <v>100666</v>
      </c>
      <c r="M22" s="108"/>
      <c r="N22" s="102"/>
      <c r="O22" s="103"/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08">
        <v>100666</v>
      </c>
      <c r="M23" s="108"/>
      <c r="N23" s="102"/>
      <c r="O23" s="103"/>
    </row>
    <row r="24" spans="1:56" ht="18.75" thickBot="1" x14ac:dyDescent="0.3">
      <c r="A24" s="215">
        <f>A22+1</f>
        <v>46161</v>
      </c>
      <c r="B24" s="26" t="s">
        <v>50</v>
      </c>
      <c r="C24" s="216"/>
      <c r="D24" s="34"/>
      <c r="E24" s="50" t="s">
        <v>314</v>
      </c>
      <c r="F24" s="57"/>
      <c r="G24" s="58"/>
      <c r="H24" s="51"/>
      <c r="I24" s="54"/>
      <c r="J24" s="55" t="s">
        <v>84</v>
      </c>
      <c r="K24" s="56"/>
      <c r="L24" s="108">
        <v>100666</v>
      </c>
      <c r="M24" s="108"/>
      <c r="N24" s="102"/>
      <c r="O24" s="103"/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08">
        <v>100666</v>
      </c>
      <c r="M25" s="108"/>
      <c r="N25" s="102"/>
      <c r="O25" s="103"/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46162</v>
      </c>
      <c r="B27" s="26" t="s">
        <v>50</v>
      </c>
      <c r="C27" s="222">
        <v>23</v>
      </c>
      <c r="D27" s="222">
        <v>23</v>
      </c>
      <c r="E27" s="219" t="s">
        <v>67</v>
      </c>
      <c r="F27" s="220"/>
      <c r="G27" s="51"/>
      <c r="H27" s="51"/>
      <c r="I27" s="51"/>
      <c r="J27" s="55" t="s">
        <v>84</v>
      </c>
      <c r="K27" s="56"/>
      <c r="L27" s="108">
        <v>100666</v>
      </c>
      <c r="M27" s="108"/>
      <c r="N27" s="102"/>
      <c r="O27" s="103"/>
      <c r="P27" s="39">
        <v>86000</v>
      </c>
      <c r="Q27" s="40">
        <f>P27/L27</f>
        <v>0.8543102934456519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8</v>
      </c>
      <c r="AS27" s="41">
        <v>8</v>
      </c>
      <c r="AT27" s="41">
        <v>8</v>
      </c>
      <c r="AU27" s="41">
        <v>8</v>
      </c>
      <c r="AV27" s="41">
        <v>8</v>
      </c>
      <c r="AW27" s="41">
        <v>8</v>
      </c>
      <c r="AX27" s="42">
        <f>IF(AW27&gt;0,AVERAGE(T27:AW27),"")</f>
        <v>7.2</v>
      </c>
      <c r="AY27" s="43">
        <f t="shared" ref="AY27:AY33" si="0">IF(AW27&gt;0,STDEV(T27:AW27),"")</f>
        <v>0.40683810217248623</v>
      </c>
      <c r="AZ27" s="42">
        <f>IF(AW27&gt;0,AY27/AX27*100,"")</f>
        <v>5.6505291968400861</v>
      </c>
      <c r="BA27" s="44" t="s">
        <v>67</v>
      </c>
      <c r="BB27" s="45"/>
      <c r="BC27" s="46"/>
      <c r="BD27" s="47">
        <f t="shared" ref="BD27:BD33" si="1">IF(AW27&gt;0,100-AZ27,"")</f>
        <v>94.349470803159917</v>
      </c>
    </row>
    <row r="28" spans="1:56" ht="18.75" thickBot="1" x14ac:dyDescent="0.3">
      <c r="A28" s="38">
        <f>A27+1</f>
        <v>46163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08">
        <v>100666</v>
      </c>
      <c r="M28" s="108"/>
      <c r="N28" s="102"/>
      <c r="O28" s="103"/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7</v>
      </c>
      <c r="AE28" s="41">
        <v>7</v>
      </c>
      <c r="AF28" s="41">
        <v>7</v>
      </c>
      <c r="AG28" s="41">
        <v>7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7.5333333333333332</v>
      </c>
      <c r="AY28" s="43">
        <f t="shared" si="0"/>
        <v>0.50741626340492496</v>
      </c>
      <c r="AZ28" s="42">
        <f t="shared" ref="AZ28:AZ33" si="3">IF(AW28&gt;0,AY28/AX28*100,"")</f>
        <v>6.7356141159945784</v>
      </c>
      <c r="BA28" s="44" t="s">
        <v>68</v>
      </c>
      <c r="BB28" s="45"/>
      <c r="BC28" s="46"/>
      <c r="BD28" s="47">
        <f t="shared" si="1"/>
        <v>93.264385884005421</v>
      </c>
    </row>
    <row r="29" spans="1:56" ht="18.75" thickBot="1" x14ac:dyDescent="0.3">
      <c r="A29" s="38">
        <f t="shared" ref="A29:A33" si="4">A28+1</f>
        <v>46164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08">
        <v>100666</v>
      </c>
      <c r="M29" s="108"/>
      <c r="N29" s="102"/>
      <c r="O29" s="103"/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9</v>
      </c>
      <c r="AO29" s="41">
        <v>9</v>
      </c>
      <c r="AP29" s="41">
        <v>9</v>
      </c>
      <c r="AQ29" s="41">
        <v>9</v>
      </c>
      <c r="AR29" s="41">
        <v>9</v>
      </c>
      <c r="AS29" s="41">
        <v>9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si="2"/>
        <v>8.3333333333333339</v>
      </c>
      <c r="AY29" s="43">
        <f t="shared" si="0"/>
        <v>0.47946330148538424</v>
      </c>
      <c r="AZ29" s="42">
        <f t="shared" si="3"/>
        <v>5.7535596178246102</v>
      </c>
      <c r="BA29" s="44" t="s">
        <v>69</v>
      </c>
      <c r="BB29" s="45"/>
      <c r="BC29" s="46"/>
      <c r="BD29" s="47">
        <f t="shared" si="1"/>
        <v>94.246440382175393</v>
      </c>
    </row>
    <row r="30" spans="1:56" ht="18.75" thickBot="1" x14ac:dyDescent="0.3">
      <c r="A30" s="38">
        <f t="shared" si="4"/>
        <v>46165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08">
        <v>100666</v>
      </c>
      <c r="M30" s="108"/>
      <c r="N30" s="102"/>
      <c r="O30" s="103"/>
      <c r="P30" s="40"/>
      <c r="Q30" s="40"/>
      <c r="R30" s="40"/>
      <c r="S30" s="40"/>
      <c r="T30" s="41">
        <v>8</v>
      </c>
      <c r="U30" s="41">
        <v>8</v>
      </c>
      <c r="V30" s="41">
        <v>8</v>
      </c>
      <c r="W30" s="41">
        <v>8</v>
      </c>
      <c r="X30" s="41">
        <v>8</v>
      </c>
      <c r="Y30" s="41">
        <v>8</v>
      </c>
      <c r="Z30" s="41">
        <v>8</v>
      </c>
      <c r="AA30" s="41">
        <v>9</v>
      </c>
      <c r="AB30" s="41">
        <v>9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8.7666666666666675</v>
      </c>
      <c r="AY30" s="43">
        <f t="shared" si="0"/>
        <v>0.43018306715207638</v>
      </c>
      <c r="AZ30" s="42">
        <f t="shared" si="3"/>
        <v>4.9070311842442171</v>
      </c>
      <c r="BA30" s="44" t="s">
        <v>70</v>
      </c>
      <c r="BB30" s="48"/>
      <c r="BC30" s="46"/>
      <c r="BD30" s="47">
        <f t="shared" si="1"/>
        <v>95.092968815755782</v>
      </c>
    </row>
    <row r="31" spans="1:56" ht="18.75" thickBot="1" x14ac:dyDescent="0.3">
      <c r="A31" s="38">
        <f t="shared" si="4"/>
        <v>46166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08">
        <v>100666</v>
      </c>
      <c r="M31" s="108"/>
      <c r="N31" s="102"/>
      <c r="O31" s="103"/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10</v>
      </c>
      <c r="AJ31" s="41">
        <v>10</v>
      </c>
      <c r="AK31" s="41">
        <v>10</v>
      </c>
      <c r="AL31" s="41">
        <v>10</v>
      </c>
      <c r="AM31" s="41">
        <v>10</v>
      </c>
      <c r="AN31" s="41">
        <v>10</v>
      </c>
      <c r="AO31" s="41">
        <v>10</v>
      </c>
      <c r="AP31" s="41">
        <v>10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2"/>
        <v>9.5</v>
      </c>
      <c r="AY31" s="43">
        <f t="shared" si="0"/>
        <v>0.5085476277156078</v>
      </c>
      <c r="AZ31" s="42">
        <f t="shared" si="3"/>
        <v>5.3531329233221872</v>
      </c>
      <c r="BA31" s="44" t="s">
        <v>71</v>
      </c>
      <c r="BB31" s="48"/>
      <c r="BC31" s="49"/>
      <c r="BD31" s="47">
        <f t="shared" si="1"/>
        <v>94.646867076677808</v>
      </c>
    </row>
    <row r="32" spans="1:56" ht="18.75" thickBot="1" x14ac:dyDescent="0.3">
      <c r="A32" s="38">
        <f t="shared" si="4"/>
        <v>46167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08">
        <v>100666</v>
      </c>
      <c r="M32" s="108"/>
      <c r="N32" s="102"/>
      <c r="O32" s="103"/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9</v>
      </c>
      <c r="AE32" s="41">
        <v>9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9.6</v>
      </c>
      <c r="AY32" s="43">
        <f t="shared" si="0"/>
        <v>0.49827287912243967</v>
      </c>
      <c r="AZ32" s="42">
        <f t="shared" si="3"/>
        <v>5.1903424908587468</v>
      </c>
      <c r="BA32" s="44" t="s">
        <v>72</v>
      </c>
      <c r="BB32" s="48"/>
      <c r="BC32" s="49"/>
      <c r="BD32" s="47">
        <f t="shared" si="1"/>
        <v>94.80965750914126</v>
      </c>
    </row>
    <row r="33" spans="1:56" ht="18.75" thickBot="1" x14ac:dyDescent="0.3">
      <c r="A33" s="38">
        <f t="shared" si="4"/>
        <v>46168</v>
      </c>
      <c r="B33" s="26" t="s">
        <v>50</v>
      </c>
      <c r="C33" s="224"/>
      <c r="D33" s="224"/>
      <c r="E33" s="219"/>
      <c r="F33" s="220"/>
      <c r="G33" s="51"/>
      <c r="H33" s="51"/>
      <c r="I33" s="51"/>
      <c r="J33" s="55"/>
      <c r="K33" s="56"/>
      <c r="L33" s="108">
        <v>100666</v>
      </c>
      <c r="M33" s="108"/>
      <c r="N33" s="102"/>
      <c r="O33" s="103"/>
      <c r="P33" s="40"/>
      <c r="Q33" s="40"/>
      <c r="R33" s="97">
        <v>82600</v>
      </c>
      <c r="S33" s="40">
        <f>R33/L33</f>
        <v>0.82053523533268435</v>
      </c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2" t="str">
        <f t="shared" si="2"/>
        <v/>
      </c>
      <c r="AY33" s="43" t="str">
        <f t="shared" si="0"/>
        <v/>
      </c>
      <c r="AZ33" s="42" t="str">
        <f t="shared" si="3"/>
        <v/>
      </c>
      <c r="BA33" s="44" t="s">
        <v>73</v>
      </c>
      <c r="BB33" s="48"/>
      <c r="BC33" s="49"/>
      <c r="BD33" s="47" t="str">
        <f t="shared" si="1"/>
        <v/>
      </c>
    </row>
  </sheetData>
  <mergeCells count="30">
    <mergeCell ref="BB25:BB26"/>
    <mergeCell ref="C27:C33"/>
    <mergeCell ref="D27:D33"/>
    <mergeCell ref="E27:F27"/>
    <mergeCell ref="E28:F28"/>
    <mergeCell ref="E29:F29"/>
    <mergeCell ref="E30:F30"/>
    <mergeCell ref="E31:F31"/>
    <mergeCell ref="E32:F32"/>
    <mergeCell ref="E33:F33"/>
    <mergeCell ref="T25:AW25"/>
    <mergeCell ref="AX25:AX26"/>
    <mergeCell ref="AY25:AY26"/>
    <mergeCell ref="AZ25:AZ26"/>
    <mergeCell ref="BA25:BA26"/>
    <mergeCell ref="E26:F26"/>
    <mergeCell ref="A19:A20"/>
    <mergeCell ref="A22:A23"/>
    <mergeCell ref="C22:C25"/>
    <mergeCell ref="A24:A25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113D-4935-445E-9390-34A40DDB59A6}">
  <dimension ref="A1:BD33"/>
  <sheetViews>
    <sheetView topLeftCell="J10" zoomScale="60" zoomScaleNormal="60" workbookViewId="0">
      <selection activeCell="AJ16" sqref="AJ16"/>
    </sheetView>
  </sheetViews>
  <sheetFormatPr defaultRowHeight="15" x14ac:dyDescent="0.25"/>
  <cols>
    <col min="1" max="1" width="9.7109375" bestFit="1" customWidth="1"/>
    <col min="2" max="2" width="5.28515625" bestFit="1" customWidth="1"/>
    <col min="3" max="4" width="10.42578125" bestFit="1" customWidth="1"/>
    <col min="5" max="5" width="26.28515625" customWidth="1"/>
    <col min="6" max="6" width="11.5703125" bestFit="1" customWidth="1"/>
    <col min="7" max="8" width="11.7109375" bestFit="1" customWidth="1"/>
    <col min="9" max="9" width="10.5703125" bestFit="1" customWidth="1"/>
    <col min="10" max="10" width="11.5703125" bestFit="1" customWidth="1"/>
    <col min="11" max="11" width="22.28515625" bestFit="1" customWidth="1"/>
    <col min="12" max="12" width="11.42578125" bestFit="1" customWidth="1"/>
    <col min="13" max="13" width="17" bestFit="1" customWidth="1"/>
    <col min="14" max="14" width="6.5703125" bestFit="1" customWidth="1"/>
    <col min="15" max="15" width="6.140625" bestFit="1" customWidth="1"/>
    <col min="16" max="16" width="12.28515625" bestFit="1" customWidth="1"/>
    <col min="17" max="17" width="10.5703125" bestFit="1" customWidth="1"/>
    <col min="18" max="18" width="12" bestFit="1" customWidth="1"/>
    <col min="19" max="19" width="9.7109375" bestFit="1" customWidth="1"/>
    <col min="20" max="20" width="4.42578125" bestFit="1" customWidth="1"/>
    <col min="21" max="34" width="3.42578125" bestFit="1" customWidth="1"/>
    <col min="35" max="49" width="5" bestFit="1" customWidth="1"/>
  </cols>
  <sheetData>
    <row r="1" spans="1:23" ht="15.75" thickBot="1" x14ac:dyDescent="0.3"/>
    <row r="2" spans="1:23" ht="15.75" thickBot="1" x14ac:dyDescent="0.3">
      <c r="A2" s="26" t="s">
        <v>41</v>
      </c>
      <c r="B2" s="26" t="s">
        <v>42</v>
      </c>
      <c r="C2" s="27"/>
      <c r="D2" s="217"/>
      <c r="E2" s="133" t="s">
        <v>60</v>
      </c>
      <c r="F2" s="133" t="s">
        <v>43</v>
      </c>
      <c r="G2" s="133" t="s">
        <v>44</v>
      </c>
      <c r="H2" s="133" t="s">
        <v>45</v>
      </c>
      <c r="I2" s="29" t="s">
        <v>74</v>
      </c>
      <c r="J2" s="30" t="s">
        <v>46</v>
      </c>
      <c r="K2" s="31" t="s">
        <v>47</v>
      </c>
      <c r="L2" s="133" t="s">
        <v>48</v>
      </c>
      <c r="M2" s="27" t="s">
        <v>25</v>
      </c>
      <c r="N2" s="133" t="s">
        <v>26</v>
      </c>
      <c r="O2" s="32" t="s">
        <v>49</v>
      </c>
    </row>
    <row r="3" spans="1:23" ht="18.75" thickBot="1" x14ac:dyDescent="0.3">
      <c r="A3" s="215">
        <v>46151</v>
      </c>
      <c r="B3" s="26" t="s">
        <v>50</v>
      </c>
      <c r="C3" s="218">
        <v>24</v>
      </c>
      <c r="D3" s="217"/>
      <c r="E3" s="50"/>
      <c r="F3" s="51"/>
      <c r="G3" s="51"/>
      <c r="H3" s="51"/>
      <c r="I3" s="54"/>
      <c r="J3" s="52"/>
      <c r="K3" s="53"/>
      <c r="L3" s="108">
        <v>102833</v>
      </c>
      <c r="M3" s="108">
        <v>8</v>
      </c>
      <c r="N3" s="102"/>
      <c r="O3" s="103"/>
    </row>
    <row r="4" spans="1:23" ht="18.75" thickBot="1" x14ac:dyDescent="0.3">
      <c r="A4" s="215"/>
      <c r="B4" s="26" t="s">
        <v>51</v>
      </c>
      <c r="C4" s="218"/>
      <c r="D4" s="217"/>
      <c r="E4" s="50" t="s">
        <v>243</v>
      </c>
      <c r="F4" s="51">
        <v>0.06</v>
      </c>
      <c r="G4" s="51">
        <v>0.02</v>
      </c>
      <c r="H4" s="51"/>
      <c r="I4" s="54" t="s">
        <v>102</v>
      </c>
      <c r="J4" s="55" t="s">
        <v>103</v>
      </c>
      <c r="K4" s="56" t="s">
        <v>93</v>
      </c>
      <c r="L4" s="108">
        <v>102833</v>
      </c>
      <c r="M4" s="108"/>
      <c r="N4" s="102"/>
      <c r="O4" s="103"/>
    </row>
    <row r="5" spans="1:23" ht="18.75" thickBot="1" x14ac:dyDescent="0.3">
      <c r="A5" s="215">
        <v>46152</v>
      </c>
      <c r="B5" s="26" t="s">
        <v>50</v>
      </c>
      <c r="C5" s="218"/>
      <c r="D5" s="217"/>
      <c r="E5" s="50" t="s">
        <v>83</v>
      </c>
      <c r="F5" s="51">
        <v>0.03</v>
      </c>
      <c r="G5" s="51">
        <v>0.06</v>
      </c>
      <c r="H5" s="51"/>
      <c r="I5" s="54" t="s">
        <v>249</v>
      </c>
      <c r="J5" s="55" t="s">
        <v>95</v>
      </c>
      <c r="K5" s="56" t="s">
        <v>233</v>
      </c>
      <c r="L5" s="108">
        <v>102833</v>
      </c>
      <c r="M5" s="108"/>
      <c r="N5" s="102"/>
      <c r="O5" s="103"/>
    </row>
    <row r="6" spans="1:23" ht="18.75" thickBot="1" x14ac:dyDescent="0.3">
      <c r="A6" s="215"/>
      <c r="B6" s="26" t="s">
        <v>51</v>
      </c>
      <c r="C6" s="218"/>
      <c r="D6" s="217"/>
      <c r="E6" s="50" t="s">
        <v>83</v>
      </c>
      <c r="F6" s="51"/>
      <c r="G6" s="51"/>
      <c r="H6" s="51"/>
      <c r="I6" s="54" t="s">
        <v>102</v>
      </c>
      <c r="J6" s="55" t="s">
        <v>84</v>
      </c>
      <c r="K6" s="56"/>
      <c r="L6" s="108">
        <v>102833</v>
      </c>
      <c r="M6" s="108"/>
      <c r="N6" s="102"/>
      <c r="O6" s="103"/>
    </row>
    <row r="7" spans="1:23" ht="18.75" thickBot="1" x14ac:dyDescent="0.3">
      <c r="A7" s="215">
        <v>46153</v>
      </c>
      <c r="B7" s="26" t="s">
        <v>50</v>
      </c>
      <c r="C7" s="218"/>
      <c r="D7" s="217"/>
      <c r="E7" s="50" t="s">
        <v>167</v>
      </c>
      <c r="F7" s="51"/>
      <c r="G7" s="51">
        <v>0.03</v>
      </c>
      <c r="H7" s="51"/>
      <c r="I7" s="54" t="s">
        <v>282</v>
      </c>
      <c r="J7" s="55" t="s">
        <v>84</v>
      </c>
      <c r="K7" s="56"/>
      <c r="L7" s="108">
        <v>102833</v>
      </c>
      <c r="M7" s="108"/>
      <c r="N7" s="102"/>
      <c r="O7" s="103"/>
    </row>
    <row r="8" spans="1:23" ht="18.75" thickBot="1" x14ac:dyDescent="0.3">
      <c r="A8" s="215"/>
      <c r="B8" s="26" t="s">
        <v>51</v>
      </c>
      <c r="C8" s="218"/>
      <c r="D8" s="217"/>
      <c r="E8" s="50" t="s">
        <v>167</v>
      </c>
      <c r="F8" s="51"/>
      <c r="G8" s="51"/>
      <c r="H8" s="51"/>
      <c r="I8" s="54" t="s">
        <v>171</v>
      </c>
      <c r="J8" s="55" t="s">
        <v>84</v>
      </c>
      <c r="K8" s="56"/>
      <c r="L8" s="108">
        <v>102833</v>
      </c>
      <c r="M8" s="108"/>
      <c r="N8" s="102"/>
      <c r="O8" s="103"/>
    </row>
    <row r="9" spans="1:23" ht="18.75" thickBot="1" x14ac:dyDescent="0.3">
      <c r="A9" s="215">
        <v>46154</v>
      </c>
      <c r="B9" s="26" t="s">
        <v>50</v>
      </c>
      <c r="C9" s="218"/>
      <c r="D9" s="217"/>
      <c r="E9" s="50" t="s">
        <v>195</v>
      </c>
      <c r="F9" s="57"/>
      <c r="G9" s="51"/>
      <c r="H9" s="51"/>
      <c r="I9" s="54" t="s">
        <v>281</v>
      </c>
      <c r="J9" s="55" t="s">
        <v>84</v>
      </c>
      <c r="K9" s="56"/>
      <c r="L9" s="108">
        <v>102833</v>
      </c>
      <c r="M9" s="108"/>
      <c r="N9" s="102"/>
      <c r="O9" s="103"/>
    </row>
    <row r="10" spans="1:23" ht="18.75" thickBot="1" x14ac:dyDescent="0.3">
      <c r="A10" s="215"/>
      <c r="B10" s="26" t="s">
        <v>51</v>
      </c>
      <c r="C10" s="218"/>
      <c r="D10" s="217"/>
      <c r="E10" s="50" t="s">
        <v>195</v>
      </c>
      <c r="F10" s="57"/>
      <c r="G10" s="51"/>
      <c r="H10" s="51"/>
      <c r="I10" s="54" t="s">
        <v>313</v>
      </c>
      <c r="J10" s="55" t="s">
        <v>84</v>
      </c>
      <c r="K10" s="56"/>
      <c r="L10" s="108">
        <v>102833</v>
      </c>
      <c r="M10" s="108"/>
      <c r="N10" s="102"/>
      <c r="O10" s="103"/>
    </row>
    <row r="11" spans="1:23" ht="18.75" thickBot="1" x14ac:dyDescent="0.3">
      <c r="A11" s="215">
        <v>46155</v>
      </c>
      <c r="B11" s="26" t="s">
        <v>50</v>
      </c>
      <c r="C11" s="218"/>
      <c r="D11" s="217"/>
      <c r="E11" s="50" t="s">
        <v>244</v>
      </c>
      <c r="F11" s="57"/>
      <c r="G11" s="51"/>
      <c r="H11" s="51"/>
      <c r="I11" s="54" t="s">
        <v>321</v>
      </c>
      <c r="J11" s="55" t="s">
        <v>84</v>
      </c>
      <c r="K11" s="56"/>
      <c r="L11" s="108">
        <v>102833</v>
      </c>
      <c r="M11" s="108"/>
      <c r="N11" s="102"/>
      <c r="O11" s="103"/>
    </row>
    <row r="12" spans="1:23" ht="18.75" thickBot="1" x14ac:dyDescent="0.3">
      <c r="A12" s="215"/>
      <c r="B12" s="26" t="s">
        <v>51</v>
      </c>
      <c r="C12" s="218"/>
      <c r="D12" s="217"/>
      <c r="E12" s="50" t="s">
        <v>244</v>
      </c>
      <c r="F12" s="57"/>
      <c r="G12" s="51"/>
      <c r="H12" s="51"/>
      <c r="I12" s="54" t="s">
        <v>197</v>
      </c>
      <c r="J12" s="55" t="s">
        <v>84</v>
      </c>
      <c r="K12" s="56"/>
      <c r="L12" s="108">
        <v>102833</v>
      </c>
      <c r="M12" s="108"/>
      <c r="N12" s="102"/>
      <c r="O12" s="103"/>
      <c r="W12" t="s">
        <v>63</v>
      </c>
    </row>
    <row r="13" spans="1:23" ht="18.75" thickBot="1" x14ac:dyDescent="0.3">
      <c r="A13" s="215">
        <v>46156</v>
      </c>
      <c r="B13" s="26" t="s">
        <v>50</v>
      </c>
      <c r="C13" s="218"/>
      <c r="D13" s="217"/>
      <c r="E13" s="50" t="s">
        <v>328</v>
      </c>
      <c r="F13" s="57"/>
      <c r="G13" s="51"/>
      <c r="H13" s="51"/>
      <c r="I13" s="54"/>
      <c r="J13" s="55" t="s">
        <v>84</v>
      </c>
      <c r="K13" s="56"/>
      <c r="L13" s="108">
        <v>102833</v>
      </c>
      <c r="M13" s="108"/>
      <c r="N13" s="102"/>
      <c r="O13" s="103"/>
    </row>
    <row r="14" spans="1:23" ht="18.75" thickBot="1" x14ac:dyDescent="0.3">
      <c r="A14" s="215"/>
      <c r="B14" s="26" t="s">
        <v>51</v>
      </c>
      <c r="C14" s="218"/>
      <c r="D14" s="217"/>
      <c r="E14" s="50" t="s">
        <v>285</v>
      </c>
      <c r="F14" s="57"/>
      <c r="G14" s="51"/>
      <c r="H14" s="51"/>
      <c r="I14" s="54"/>
      <c r="J14" s="55" t="s">
        <v>84</v>
      </c>
      <c r="K14" s="56"/>
      <c r="L14" s="108">
        <v>102833</v>
      </c>
      <c r="M14" s="108"/>
      <c r="N14" s="102"/>
      <c r="O14" s="103"/>
    </row>
    <row r="15" spans="1:23" ht="18.75" thickBot="1" x14ac:dyDescent="0.3">
      <c r="A15" s="215">
        <v>46157</v>
      </c>
      <c r="B15" s="26" t="s">
        <v>50</v>
      </c>
      <c r="C15" s="218"/>
      <c r="D15" s="217"/>
      <c r="E15" s="50" t="s">
        <v>330</v>
      </c>
      <c r="F15" s="57"/>
      <c r="G15" s="58"/>
      <c r="H15" s="51"/>
      <c r="I15" s="54"/>
      <c r="J15" s="55" t="s">
        <v>84</v>
      </c>
      <c r="K15" s="56"/>
      <c r="L15" s="108">
        <v>102833</v>
      </c>
      <c r="M15" s="108"/>
      <c r="N15" s="102"/>
      <c r="O15" s="103"/>
    </row>
    <row r="16" spans="1:23" ht="18.75" thickBot="1" x14ac:dyDescent="0.3">
      <c r="A16" s="215"/>
      <c r="B16" s="26" t="s">
        <v>51</v>
      </c>
      <c r="C16" s="218"/>
      <c r="D16" s="217"/>
      <c r="E16" s="50" t="s">
        <v>331</v>
      </c>
      <c r="F16" s="57"/>
      <c r="G16" s="58"/>
      <c r="H16" s="51"/>
      <c r="I16" s="54"/>
      <c r="J16" s="55" t="s">
        <v>84</v>
      </c>
      <c r="K16" s="56"/>
      <c r="L16" s="108">
        <v>102833</v>
      </c>
      <c r="M16" s="108"/>
      <c r="N16" s="102"/>
      <c r="O16" s="103"/>
    </row>
    <row r="17" spans="1:56" ht="18.75" thickBot="1" x14ac:dyDescent="0.3">
      <c r="A17" s="215">
        <v>46158</v>
      </c>
      <c r="B17" s="26" t="s">
        <v>50</v>
      </c>
      <c r="C17" s="218"/>
      <c r="D17" s="217"/>
      <c r="E17" s="50" t="s">
        <v>314</v>
      </c>
      <c r="F17" s="57"/>
      <c r="G17" s="58">
        <v>0.09</v>
      </c>
      <c r="H17" s="51"/>
      <c r="I17" s="54"/>
      <c r="J17" s="55" t="s">
        <v>84</v>
      </c>
      <c r="K17" s="56"/>
      <c r="L17" s="108">
        <v>102833</v>
      </c>
      <c r="M17" s="108"/>
      <c r="N17" s="102"/>
      <c r="O17" s="103"/>
    </row>
    <row r="18" spans="1:56" ht="18.75" thickBot="1" x14ac:dyDescent="0.3">
      <c r="A18" s="215"/>
      <c r="B18" s="26" t="s">
        <v>51</v>
      </c>
      <c r="C18" s="218"/>
      <c r="D18" s="217"/>
      <c r="E18" s="50" t="s">
        <v>314</v>
      </c>
      <c r="F18" s="57">
        <v>0.03</v>
      </c>
      <c r="G18" s="58"/>
      <c r="H18" s="51"/>
      <c r="I18" s="54"/>
      <c r="J18" s="55" t="s">
        <v>84</v>
      </c>
      <c r="K18" s="53" t="s">
        <v>51</v>
      </c>
      <c r="L18" s="108">
        <v>102833</v>
      </c>
      <c r="M18" s="108"/>
      <c r="N18" s="102"/>
      <c r="O18" s="103"/>
    </row>
    <row r="19" spans="1:56" ht="18.75" thickBot="1" x14ac:dyDescent="0.3">
      <c r="A19" s="215">
        <v>46159</v>
      </c>
      <c r="B19" s="26" t="s">
        <v>50</v>
      </c>
      <c r="C19" s="218"/>
      <c r="D19" s="217"/>
      <c r="E19" s="50" t="s">
        <v>314</v>
      </c>
      <c r="F19" s="57"/>
      <c r="G19" s="58"/>
      <c r="H19" s="51"/>
      <c r="I19" s="54"/>
      <c r="J19" s="55" t="s">
        <v>84</v>
      </c>
      <c r="K19" s="53"/>
      <c r="L19" s="108">
        <v>102833</v>
      </c>
      <c r="M19" s="108"/>
      <c r="N19" s="102"/>
      <c r="O19" s="103"/>
    </row>
    <row r="20" spans="1:56" ht="18.75" thickBot="1" x14ac:dyDescent="0.3">
      <c r="A20" s="215"/>
      <c r="B20" s="26" t="s">
        <v>51</v>
      </c>
      <c r="C20" s="218"/>
      <c r="D20" s="217"/>
      <c r="E20" s="50" t="s">
        <v>314</v>
      </c>
      <c r="F20" s="57">
        <v>0.06</v>
      </c>
      <c r="G20" s="58">
        <v>0.03</v>
      </c>
      <c r="H20" s="51"/>
      <c r="I20" s="54"/>
      <c r="J20" s="55" t="s">
        <v>84</v>
      </c>
      <c r="K20" s="56" t="s">
        <v>322</v>
      </c>
      <c r="L20" s="108">
        <v>102833</v>
      </c>
      <c r="M20" s="108"/>
      <c r="N20" s="102"/>
      <c r="O20" s="103"/>
    </row>
    <row r="21" spans="1:56" ht="18.75" thickBot="1" x14ac:dyDescent="0.3">
      <c r="A21" s="33"/>
      <c r="B21" s="33"/>
      <c r="C21" s="27"/>
      <c r="D21" s="133" t="s">
        <v>52</v>
      </c>
      <c r="E21" s="59"/>
      <c r="F21" s="59"/>
      <c r="G21" s="59"/>
      <c r="H21" s="59"/>
      <c r="I21" s="59"/>
      <c r="J21" s="77"/>
      <c r="K21" s="61"/>
      <c r="L21" s="108">
        <v>102833</v>
      </c>
      <c r="M21" s="108"/>
      <c r="N21" s="102"/>
      <c r="O21" s="103"/>
    </row>
    <row r="22" spans="1:56" ht="18.75" thickBot="1" x14ac:dyDescent="0.3">
      <c r="A22" s="215">
        <f>A19+1</f>
        <v>46160</v>
      </c>
      <c r="B22" s="26" t="s">
        <v>50</v>
      </c>
      <c r="C22" s="216">
        <v>24</v>
      </c>
      <c r="D22" s="34"/>
      <c r="E22" s="50" t="s">
        <v>314</v>
      </c>
      <c r="F22" s="57"/>
      <c r="G22" s="58"/>
      <c r="H22" s="51"/>
      <c r="I22" s="54"/>
      <c r="J22" s="55" t="s">
        <v>84</v>
      </c>
      <c r="K22" s="56"/>
      <c r="L22" s="108">
        <v>102833</v>
      </c>
      <c r="M22" s="108"/>
      <c r="N22" s="102"/>
      <c r="O22" s="103"/>
    </row>
    <row r="23" spans="1:56" ht="18.75" thickBot="1" x14ac:dyDescent="0.3">
      <c r="A23" s="215"/>
      <c r="B23" s="26" t="s">
        <v>51</v>
      </c>
      <c r="C23" s="216"/>
      <c r="D23" s="34"/>
      <c r="E23" s="50" t="s">
        <v>314</v>
      </c>
      <c r="F23" s="57"/>
      <c r="G23" s="58"/>
      <c r="H23" s="51"/>
      <c r="I23" s="54"/>
      <c r="J23" s="55" t="s">
        <v>84</v>
      </c>
      <c r="K23" s="56"/>
      <c r="L23" s="108">
        <v>102833</v>
      </c>
      <c r="M23" s="108"/>
      <c r="N23" s="102"/>
      <c r="O23" s="103"/>
    </row>
    <row r="24" spans="1:56" ht="18.75" thickBot="1" x14ac:dyDescent="0.3">
      <c r="A24" s="215">
        <f>A22+1</f>
        <v>46161</v>
      </c>
      <c r="B24" s="26" t="s">
        <v>50</v>
      </c>
      <c r="C24" s="216"/>
      <c r="D24" s="34"/>
      <c r="E24" s="50" t="s">
        <v>314</v>
      </c>
      <c r="F24" s="57"/>
      <c r="G24" s="58">
        <v>0.03</v>
      </c>
      <c r="H24" s="51"/>
      <c r="I24" s="54"/>
      <c r="J24" s="55" t="s">
        <v>84</v>
      </c>
      <c r="K24" s="56"/>
      <c r="L24" s="108">
        <v>102833</v>
      </c>
      <c r="M24" s="108"/>
      <c r="N24" s="102"/>
      <c r="O24" s="103"/>
    </row>
    <row r="25" spans="1:56" ht="18.75" thickBot="1" x14ac:dyDescent="0.3">
      <c r="A25" s="215"/>
      <c r="B25" s="26" t="s">
        <v>51</v>
      </c>
      <c r="C25" s="216"/>
      <c r="D25" s="34"/>
      <c r="E25" s="50" t="s">
        <v>314</v>
      </c>
      <c r="F25" s="57"/>
      <c r="G25" s="58"/>
      <c r="H25" s="51"/>
      <c r="I25" s="54"/>
      <c r="J25" s="55" t="s">
        <v>84</v>
      </c>
      <c r="K25" s="56"/>
      <c r="L25" s="108">
        <v>102833</v>
      </c>
      <c r="M25" s="108"/>
      <c r="N25" s="102"/>
      <c r="O25" s="103"/>
      <c r="T25" s="225" t="s">
        <v>75</v>
      </c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6" t="s">
        <v>76</v>
      </c>
      <c r="AY25" s="226" t="s">
        <v>77</v>
      </c>
      <c r="AZ25" s="226" t="s">
        <v>78</v>
      </c>
      <c r="BA25" s="226" t="s">
        <v>79</v>
      </c>
      <c r="BB25" s="221" t="s">
        <v>80</v>
      </c>
    </row>
    <row r="26" spans="1:56" ht="30.75" thickBot="1" x14ac:dyDescent="0.3">
      <c r="A26" s="132"/>
      <c r="B26" s="26"/>
      <c r="C26" s="133" t="s">
        <v>53</v>
      </c>
      <c r="D26" s="133" t="s">
        <v>54</v>
      </c>
      <c r="E26" s="213" t="s">
        <v>60</v>
      </c>
      <c r="F26" s="214"/>
      <c r="G26" s="59" t="s">
        <v>43</v>
      </c>
      <c r="H26" s="59" t="s">
        <v>44</v>
      </c>
      <c r="I26" s="59" t="s">
        <v>45</v>
      </c>
      <c r="J26" s="77" t="s">
        <v>46</v>
      </c>
      <c r="K26" s="61" t="s">
        <v>47</v>
      </c>
      <c r="L26" s="131" t="s">
        <v>48</v>
      </c>
      <c r="M26" s="131" t="s">
        <v>25</v>
      </c>
      <c r="N26" s="63" t="s">
        <v>26</v>
      </c>
      <c r="O26" s="64" t="s">
        <v>49</v>
      </c>
      <c r="P26" s="36" t="s">
        <v>55</v>
      </c>
      <c r="Q26" s="36" t="s">
        <v>56</v>
      </c>
      <c r="R26" s="36" t="s">
        <v>57</v>
      </c>
      <c r="S26" s="36" t="s">
        <v>58</v>
      </c>
      <c r="T26" s="130">
        <v>1</v>
      </c>
      <c r="U26" s="130">
        <v>2</v>
      </c>
      <c r="V26" s="130">
        <v>3</v>
      </c>
      <c r="W26" s="130">
        <v>4</v>
      </c>
      <c r="X26" s="130">
        <v>5</v>
      </c>
      <c r="Y26" s="130">
        <v>6</v>
      </c>
      <c r="Z26" s="130">
        <v>7</v>
      </c>
      <c r="AA26" s="130">
        <v>8</v>
      </c>
      <c r="AB26" s="130">
        <v>9</v>
      </c>
      <c r="AC26" s="130">
        <v>10</v>
      </c>
      <c r="AD26" s="130">
        <v>11</v>
      </c>
      <c r="AE26" s="130">
        <v>12</v>
      </c>
      <c r="AF26" s="130">
        <v>13</v>
      </c>
      <c r="AG26" s="130">
        <v>14</v>
      </c>
      <c r="AH26" s="130">
        <v>15</v>
      </c>
      <c r="AI26" s="130">
        <v>16</v>
      </c>
      <c r="AJ26" s="130">
        <v>17</v>
      </c>
      <c r="AK26" s="130">
        <v>18</v>
      </c>
      <c r="AL26" s="130">
        <v>19</v>
      </c>
      <c r="AM26" s="130">
        <v>20</v>
      </c>
      <c r="AN26" s="130">
        <v>21</v>
      </c>
      <c r="AO26" s="130">
        <v>22</v>
      </c>
      <c r="AP26" s="130">
        <v>23</v>
      </c>
      <c r="AQ26" s="130">
        <v>24</v>
      </c>
      <c r="AR26" s="130">
        <v>25</v>
      </c>
      <c r="AS26" s="130">
        <v>26</v>
      </c>
      <c r="AT26" s="130">
        <v>27</v>
      </c>
      <c r="AU26" s="130">
        <v>28</v>
      </c>
      <c r="AV26" s="130">
        <v>29</v>
      </c>
      <c r="AW26" s="130">
        <v>30</v>
      </c>
      <c r="AX26" s="226"/>
      <c r="AY26" s="226"/>
      <c r="AZ26" s="226"/>
      <c r="BA26" s="226"/>
      <c r="BB26" s="221"/>
    </row>
    <row r="27" spans="1:56" ht="30" customHeight="1" thickBot="1" x14ac:dyDescent="0.3">
      <c r="A27" s="38">
        <f>A24+1</f>
        <v>46162</v>
      </c>
      <c r="B27" s="26" t="s">
        <v>50</v>
      </c>
      <c r="C27" s="222">
        <v>24</v>
      </c>
      <c r="D27" s="222">
        <v>24</v>
      </c>
      <c r="E27" s="219" t="s">
        <v>67</v>
      </c>
      <c r="F27" s="220"/>
      <c r="G27" s="51"/>
      <c r="H27" s="51">
        <v>0.03</v>
      </c>
      <c r="I27" s="51"/>
      <c r="J27" s="55" t="s">
        <v>84</v>
      </c>
      <c r="K27" s="56"/>
      <c r="L27" s="108">
        <v>102833</v>
      </c>
      <c r="M27" s="108"/>
      <c r="N27" s="102"/>
      <c r="O27" s="103"/>
      <c r="P27" s="39">
        <v>86500</v>
      </c>
      <c r="Q27" s="40">
        <f>P27/L27</f>
        <v>0.84116966343488953</v>
      </c>
      <c r="R27" s="40"/>
      <c r="S27" s="40"/>
      <c r="T27" s="41">
        <v>7</v>
      </c>
      <c r="U27" s="41">
        <v>7</v>
      </c>
      <c r="V27" s="41">
        <v>7</v>
      </c>
      <c r="W27" s="41">
        <v>7</v>
      </c>
      <c r="X27" s="41">
        <v>7</v>
      </c>
      <c r="Y27" s="41">
        <v>7</v>
      </c>
      <c r="Z27" s="41">
        <v>7</v>
      </c>
      <c r="AA27" s="41">
        <v>7</v>
      </c>
      <c r="AB27" s="41">
        <v>7</v>
      </c>
      <c r="AC27" s="41">
        <v>7</v>
      </c>
      <c r="AD27" s="41">
        <v>7</v>
      </c>
      <c r="AE27" s="41">
        <v>7</v>
      </c>
      <c r="AF27" s="41">
        <v>7</v>
      </c>
      <c r="AG27" s="41">
        <v>7</v>
      </c>
      <c r="AH27" s="41">
        <v>7</v>
      </c>
      <c r="AI27" s="41">
        <v>7</v>
      </c>
      <c r="AJ27" s="41">
        <v>7</v>
      </c>
      <c r="AK27" s="41">
        <v>7</v>
      </c>
      <c r="AL27" s="41">
        <v>7</v>
      </c>
      <c r="AM27" s="41">
        <v>7</v>
      </c>
      <c r="AN27" s="41">
        <v>7</v>
      </c>
      <c r="AO27" s="41">
        <v>7</v>
      </c>
      <c r="AP27" s="41">
        <v>7</v>
      </c>
      <c r="AQ27" s="41">
        <v>7</v>
      </c>
      <c r="AR27" s="41">
        <v>7</v>
      </c>
      <c r="AS27" s="41">
        <v>7</v>
      </c>
      <c r="AT27" s="41">
        <v>7</v>
      </c>
      <c r="AU27" s="41">
        <v>7</v>
      </c>
      <c r="AV27" s="41">
        <v>8</v>
      </c>
      <c r="AW27" s="41">
        <v>8</v>
      </c>
      <c r="AX27" s="42">
        <f>IF(AW27&gt;0,AVERAGE(T27:AW27),"")</f>
        <v>7.0666666666666664</v>
      </c>
      <c r="AY27" s="43">
        <f t="shared" ref="AY27:AY33" si="0">IF(AW27&gt;0,STDEV(T27:AW27),"")</f>
        <v>0.25370813170246242</v>
      </c>
      <c r="AZ27" s="42">
        <f>IF(AW27&gt;0,AY27/AX27*100,"")</f>
        <v>3.5902094108839022</v>
      </c>
      <c r="BA27" s="44" t="s">
        <v>67</v>
      </c>
      <c r="BB27" s="45"/>
      <c r="BC27" s="46"/>
      <c r="BD27" s="47">
        <f t="shared" ref="BD27:BD33" si="1">IF(AW27&gt;0,100-AZ27,"")</f>
        <v>96.409790589116099</v>
      </c>
    </row>
    <row r="28" spans="1:56" ht="18.75" thickBot="1" x14ac:dyDescent="0.3">
      <c r="A28" s="38">
        <f>A27+1</f>
        <v>46163</v>
      </c>
      <c r="B28" s="26" t="s">
        <v>50</v>
      </c>
      <c r="C28" s="223"/>
      <c r="D28" s="223"/>
      <c r="E28" s="219" t="s">
        <v>68</v>
      </c>
      <c r="F28" s="220"/>
      <c r="G28" s="51"/>
      <c r="H28" s="51"/>
      <c r="I28" s="51"/>
      <c r="J28" s="55" t="s">
        <v>84</v>
      </c>
      <c r="K28" s="56"/>
      <c r="L28" s="108">
        <v>102833</v>
      </c>
      <c r="M28" s="108"/>
      <c r="N28" s="102"/>
      <c r="O28" s="103"/>
      <c r="P28" s="40"/>
      <c r="Q28" s="40"/>
      <c r="R28" s="40"/>
      <c r="S28" s="40"/>
      <c r="T28" s="41">
        <v>7</v>
      </c>
      <c r="U28" s="41">
        <v>7</v>
      </c>
      <c r="V28" s="41">
        <v>7</v>
      </c>
      <c r="W28" s="41">
        <v>7</v>
      </c>
      <c r="X28" s="41">
        <v>7</v>
      </c>
      <c r="Y28" s="41">
        <v>7</v>
      </c>
      <c r="Z28" s="41">
        <v>7</v>
      </c>
      <c r="AA28" s="41">
        <v>7</v>
      </c>
      <c r="AB28" s="41">
        <v>7</v>
      </c>
      <c r="AC28" s="41">
        <v>7</v>
      </c>
      <c r="AD28" s="41">
        <v>8</v>
      </c>
      <c r="AE28" s="41">
        <v>8</v>
      </c>
      <c r="AF28" s="41">
        <v>8</v>
      </c>
      <c r="AG28" s="41">
        <v>8</v>
      </c>
      <c r="AH28" s="41">
        <v>8</v>
      </c>
      <c r="AI28" s="41">
        <v>8</v>
      </c>
      <c r="AJ28" s="41">
        <v>8</v>
      </c>
      <c r="AK28" s="41">
        <v>8</v>
      </c>
      <c r="AL28" s="41">
        <v>8</v>
      </c>
      <c r="AM28" s="41">
        <v>8</v>
      </c>
      <c r="AN28" s="41">
        <v>8</v>
      </c>
      <c r="AO28" s="41">
        <v>8</v>
      </c>
      <c r="AP28" s="41">
        <v>8</v>
      </c>
      <c r="AQ28" s="41">
        <v>8</v>
      </c>
      <c r="AR28" s="41">
        <v>8</v>
      </c>
      <c r="AS28" s="41">
        <v>8</v>
      </c>
      <c r="AT28" s="41">
        <v>8</v>
      </c>
      <c r="AU28" s="41">
        <v>8</v>
      </c>
      <c r="AV28" s="41">
        <v>8</v>
      </c>
      <c r="AW28" s="41">
        <v>8</v>
      </c>
      <c r="AX28" s="42">
        <f t="shared" ref="AX28:AX33" si="2">IF(AW28&gt;0,AVERAGE(T28:AW28),"")</f>
        <v>7.666666666666667</v>
      </c>
      <c r="AY28" s="43">
        <f t="shared" si="0"/>
        <v>0.47946330148538396</v>
      </c>
      <c r="AZ28" s="42">
        <f t="shared" ref="AZ28:AZ33" si="3">IF(AW28&gt;0,AY28/AX28*100,"")</f>
        <v>6.2538691498093559</v>
      </c>
      <c r="BA28" s="44" t="s">
        <v>68</v>
      </c>
      <c r="BB28" s="45"/>
      <c r="BC28" s="46"/>
      <c r="BD28" s="47">
        <f t="shared" si="1"/>
        <v>93.746130850190639</v>
      </c>
    </row>
    <row r="29" spans="1:56" ht="18.75" thickBot="1" x14ac:dyDescent="0.3">
      <c r="A29" s="38">
        <f t="shared" ref="A29:A33" si="4">A28+1</f>
        <v>46164</v>
      </c>
      <c r="B29" s="26" t="s">
        <v>50</v>
      </c>
      <c r="C29" s="223"/>
      <c r="D29" s="223"/>
      <c r="E29" s="219" t="s">
        <v>69</v>
      </c>
      <c r="F29" s="220"/>
      <c r="G29" s="51"/>
      <c r="H29" s="51"/>
      <c r="I29" s="51"/>
      <c r="J29" s="55" t="s">
        <v>84</v>
      </c>
      <c r="K29" s="56"/>
      <c r="L29" s="108">
        <v>102833</v>
      </c>
      <c r="M29" s="108"/>
      <c r="N29" s="102"/>
      <c r="O29" s="103"/>
      <c r="P29" s="40"/>
      <c r="Q29" s="40"/>
      <c r="R29" s="40"/>
      <c r="S29" s="40"/>
      <c r="T29" s="41">
        <v>8</v>
      </c>
      <c r="U29" s="41">
        <v>8</v>
      </c>
      <c r="V29" s="41">
        <v>8</v>
      </c>
      <c r="W29" s="41">
        <v>8</v>
      </c>
      <c r="X29" s="41">
        <v>8</v>
      </c>
      <c r="Y29" s="41">
        <v>8</v>
      </c>
      <c r="Z29" s="41">
        <v>8</v>
      </c>
      <c r="AA29" s="41">
        <v>8</v>
      </c>
      <c r="AB29" s="41">
        <v>8</v>
      </c>
      <c r="AC29" s="41">
        <v>8</v>
      </c>
      <c r="AD29" s="41">
        <v>8</v>
      </c>
      <c r="AE29" s="41">
        <v>8</v>
      </c>
      <c r="AF29" s="41">
        <v>8</v>
      </c>
      <c r="AG29" s="41">
        <v>8</v>
      </c>
      <c r="AH29" s="41">
        <v>8</v>
      </c>
      <c r="AI29" s="41">
        <v>8</v>
      </c>
      <c r="AJ29" s="41">
        <v>8</v>
      </c>
      <c r="AK29" s="41">
        <v>8</v>
      </c>
      <c r="AL29" s="41">
        <v>8</v>
      </c>
      <c r="AM29" s="41">
        <v>8</v>
      </c>
      <c r="AN29" s="41">
        <v>8</v>
      </c>
      <c r="AO29" s="41">
        <v>8</v>
      </c>
      <c r="AP29" s="41">
        <v>8</v>
      </c>
      <c r="AQ29" s="41">
        <v>9</v>
      </c>
      <c r="AR29" s="41">
        <v>9</v>
      </c>
      <c r="AS29" s="41">
        <v>9</v>
      </c>
      <c r="AT29" s="41">
        <v>9</v>
      </c>
      <c r="AU29" s="41">
        <v>9</v>
      </c>
      <c r="AV29" s="41">
        <v>9</v>
      </c>
      <c r="AW29" s="41">
        <v>9</v>
      </c>
      <c r="AX29" s="42">
        <f t="shared" si="2"/>
        <v>8.2333333333333325</v>
      </c>
      <c r="AY29" s="43">
        <f t="shared" si="0"/>
        <v>0.43018306715207638</v>
      </c>
      <c r="AZ29" s="42">
        <f t="shared" si="3"/>
        <v>5.2248955524543694</v>
      </c>
      <c r="BA29" s="44" t="s">
        <v>69</v>
      </c>
      <c r="BB29" s="45"/>
      <c r="BC29" s="46"/>
      <c r="BD29" s="47">
        <f t="shared" si="1"/>
        <v>94.77510444754563</v>
      </c>
    </row>
    <row r="30" spans="1:56" ht="18.75" thickBot="1" x14ac:dyDescent="0.3">
      <c r="A30" s="38">
        <f t="shared" si="4"/>
        <v>46165</v>
      </c>
      <c r="B30" s="26" t="s">
        <v>50</v>
      </c>
      <c r="C30" s="223"/>
      <c r="D30" s="223"/>
      <c r="E30" s="219" t="s">
        <v>70</v>
      </c>
      <c r="F30" s="220"/>
      <c r="G30" s="51"/>
      <c r="H30" s="51"/>
      <c r="I30" s="51"/>
      <c r="J30" s="55" t="s">
        <v>84</v>
      </c>
      <c r="K30" s="56"/>
      <c r="L30" s="108">
        <v>102833</v>
      </c>
      <c r="M30" s="108"/>
      <c r="N30" s="102"/>
      <c r="O30" s="103"/>
      <c r="P30" s="40"/>
      <c r="Q30" s="40"/>
      <c r="R30" s="40"/>
      <c r="S30" s="40"/>
      <c r="T30" s="41">
        <v>8</v>
      </c>
      <c r="U30" s="41">
        <v>8</v>
      </c>
      <c r="V30" s="41">
        <v>9</v>
      </c>
      <c r="W30" s="41">
        <v>9</v>
      </c>
      <c r="X30" s="41">
        <v>9</v>
      </c>
      <c r="Y30" s="41">
        <v>9</v>
      </c>
      <c r="Z30" s="41">
        <v>9</v>
      </c>
      <c r="AA30" s="41">
        <v>9</v>
      </c>
      <c r="AB30" s="41">
        <v>9</v>
      </c>
      <c r="AC30" s="41">
        <v>9</v>
      </c>
      <c r="AD30" s="41">
        <v>9</v>
      </c>
      <c r="AE30" s="41">
        <v>9</v>
      </c>
      <c r="AF30" s="41">
        <v>9</v>
      </c>
      <c r="AG30" s="41">
        <v>9</v>
      </c>
      <c r="AH30" s="41">
        <v>9</v>
      </c>
      <c r="AI30" s="41">
        <v>9</v>
      </c>
      <c r="AJ30" s="41">
        <v>9</v>
      </c>
      <c r="AK30" s="41">
        <v>9</v>
      </c>
      <c r="AL30" s="41">
        <v>9</v>
      </c>
      <c r="AM30" s="41">
        <v>9</v>
      </c>
      <c r="AN30" s="41">
        <v>9</v>
      </c>
      <c r="AO30" s="41">
        <v>9</v>
      </c>
      <c r="AP30" s="41">
        <v>9</v>
      </c>
      <c r="AQ30" s="41">
        <v>9</v>
      </c>
      <c r="AR30" s="41">
        <v>9</v>
      </c>
      <c r="AS30" s="41">
        <v>9</v>
      </c>
      <c r="AT30" s="41">
        <v>9</v>
      </c>
      <c r="AU30" s="41">
        <v>9</v>
      </c>
      <c r="AV30" s="41">
        <v>9</v>
      </c>
      <c r="AW30" s="41">
        <v>9</v>
      </c>
      <c r="AX30" s="42">
        <f t="shared" si="2"/>
        <v>8.9333333333333336</v>
      </c>
      <c r="AY30" s="43">
        <f t="shared" si="0"/>
        <v>0.25370813170246254</v>
      </c>
      <c r="AZ30" s="42">
        <f t="shared" si="3"/>
        <v>2.8400163996544312</v>
      </c>
      <c r="BA30" s="44" t="s">
        <v>70</v>
      </c>
      <c r="BB30" s="48"/>
      <c r="BC30" s="46"/>
      <c r="BD30" s="47">
        <f t="shared" si="1"/>
        <v>97.159983600345569</v>
      </c>
    </row>
    <row r="31" spans="1:56" ht="18.75" thickBot="1" x14ac:dyDescent="0.3">
      <c r="A31" s="38">
        <f t="shared" si="4"/>
        <v>46166</v>
      </c>
      <c r="B31" s="26" t="s">
        <v>50</v>
      </c>
      <c r="C31" s="223"/>
      <c r="D31" s="223"/>
      <c r="E31" s="219" t="s">
        <v>71</v>
      </c>
      <c r="F31" s="220"/>
      <c r="G31" s="51"/>
      <c r="H31" s="51"/>
      <c r="I31" s="51"/>
      <c r="J31" s="55" t="s">
        <v>84</v>
      </c>
      <c r="K31" s="56"/>
      <c r="L31" s="108">
        <v>102833</v>
      </c>
      <c r="M31" s="108"/>
      <c r="N31" s="102"/>
      <c r="O31" s="103"/>
      <c r="P31" s="40"/>
      <c r="Q31" s="40"/>
      <c r="R31" s="40"/>
      <c r="S31" s="40"/>
      <c r="T31" s="41">
        <v>9</v>
      </c>
      <c r="U31" s="41">
        <v>9</v>
      </c>
      <c r="V31" s="41">
        <v>9</v>
      </c>
      <c r="W31" s="41">
        <v>9</v>
      </c>
      <c r="X31" s="41">
        <v>9</v>
      </c>
      <c r="Y31" s="41">
        <v>9</v>
      </c>
      <c r="Z31" s="41">
        <v>9</v>
      </c>
      <c r="AA31" s="41">
        <v>9</v>
      </c>
      <c r="AB31" s="41">
        <v>9</v>
      </c>
      <c r="AC31" s="41">
        <v>9</v>
      </c>
      <c r="AD31" s="41">
        <v>9</v>
      </c>
      <c r="AE31" s="41">
        <v>9</v>
      </c>
      <c r="AF31" s="41">
        <v>9</v>
      </c>
      <c r="AG31" s="41">
        <v>9</v>
      </c>
      <c r="AH31" s="41">
        <v>9</v>
      </c>
      <c r="AI31" s="41">
        <v>9</v>
      </c>
      <c r="AJ31" s="41">
        <v>9</v>
      </c>
      <c r="AK31" s="41">
        <v>10</v>
      </c>
      <c r="AL31" s="41">
        <v>10</v>
      </c>
      <c r="AM31" s="41">
        <v>10</v>
      </c>
      <c r="AN31" s="41">
        <v>10</v>
      </c>
      <c r="AO31" s="41">
        <v>10</v>
      </c>
      <c r="AP31" s="41">
        <v>10</v>
      </c>
      <c r="AQ31" s="41">
        <v>10</v>
      </c>
      <c r="AR31" s="41">
        <v>10</v>
      </c>
      <c r="AS31" s="41">
        <v>10</v>
      </c>
      <c r="AT31" s="41">
        <v>10</v>
      </c>
      <c r="AU31" s="41">
        <v>10</v>
      </c>
      <c r="AV31" s="41">
        <v>10</v>
      </c>
      <c r="AW31" s="41">
        <v>10</v>
      </c>
      <c r="AX31" s="42">
        <f t="shared" si="2"/>
        <v>9.4333333333333336</v>
      </c>
      <c r="AY31" s="43">
        <f t="shared" si="0"/>
        <v>0.50400693299373078</v>
      </c>
      <c r="AZ31" s="42">
        <f t="shared" si="3"/>
        <v>5.3428296783787719</v>
      </c>
      <c r="BA31" s="44" t="s">
        <v>71</v>
      </c>
      <c r="BB31" s="48"/>
      <c r="BC31" s="49"/>
      <c r="BD31" s="47">
        <f t="shared" si="1"/>
        <v>94.657170321621223</v>
      </c>
    </row>
    <row r="32" spans="1:56" ht="18.75" thickBot="1" x14ac:dyDescent="0.3">
      <c r="A32" s="38">
        <f t="shared" si="4"/>
        <v>46167</v>
      </c>
      <c r="B32" s="26" t="s">
        <v>50</v>
      </c>
      <c r="C32" s="223"/>
      <c r="D32" s="223"/>
      <c r="E32" s="219" t="s">
        <v>72</v>
      </c>
      <c r="F32" s="220"/>
      <c r="G32" s="51"/>
      <c r="H32" s="51"/>
      <c r="I32" s="51"/>
      <c r="J32" s="55" t="s">
        <v>84</v>
      </c>
      <c r="K32" s="56"/>
      <c r="L32" s="108">
        <v>102833</v>
      </c>
      <c r="M32" s="108"/>
      <c r="N32" s="102"/>
      <c r="O32" s="103"/>
      <c r="P32" s="40"/>
      <c r="Q32" s="40"/>
      <c r="R32" s="40"/>
      <c r="S32" s="40"/>
      <c r="T32" s="41">
        <v>9</v>
      </c>
      <c r="U32" s="41">
        <v>9</v>
      </c>
      <c r="V32" s="41">
        <v>9</v>
      </c>
      <c r="W32" s="41">
        <v>9</v>
      </c>
      <c r="X32" s="41">
        <v>9</v>
      </c>
      <c r="Y32" s="41">
        <v>9</v>
      </c>
      <c r="Z32" s="41">
        <v>9</v>
      </c>
      <c r="AA32" s="41">
        <v>9</v>
      </c>
      <c r="AB32" s="41">
        <v>9</v>
      </c>
      <c r="AC32" s="41">
        <v>9</v>
      </c>
      <c r="AD32" s="41">
        <v>10</v>
      </c>
      <c r="AE32" s="41">
        <v>10</v>
      </c>
      <c r="AF32" s="41">
        <v>10</v>
      </c>
      <c r="AG32" s="41">
        <v>10</v>
      </c>
      <c r="AH32" s="41">
        <v>10</v>
      </c>
      <c r="AI32" s="41">
        <v>10</v>
      </c>
      <c r="AJ32" s="41">
        <v>10</v>
      </c>
      <c r="AK32" s="41">
        <v>10</v>
      </c>
      <c r="AL32" s="41">
        <v>10</v>
      </c>
      <c r="AM32" s="41">
        <v>10</v>
      </c>
      <c r="AN32" s="41">
        <v>10</v>
      </c>
      <c r="AO32" s="41">
        <v>10</v>
      </c>
      <c r="AP32" s="41">
        <v>10</v>
      </c>
      <c r="AQ32" s="41">
        <v>10</v>
      </c>
      <c r="AR32" s="41">
        <v>10</v>
      </c>
      <c r="AS32" s="41">
        <v>10</v>
      </c>
      <c r="AT32" s="41">
        <v>10</v>
      </c>
      <c r="AU32" s="41">
        <v>10</v>
      </c>
      <c r="AV32" s="41">
        <v>10</v>
      </c>
      <c r="AW32" s="41">
        <v>10</v>
      </c>
      <c r="AX32" s="42">
        <f t="shared" si="2"/>
        <v>9.6666666666666661</v>
      </c>
      <c r="AY32" s="43">
        <f t="shared" si="0"/>
        <v>0.47946330148538424</v>
      </c>
      <c r="AZ32" s="42">
        <f t="shared" si="3"/>
        <v>4.9599651877798374</v>
      </c>
      <c r="BA32" s="44" t="s">
        <v>72</v>
      </c>
      <c r="BB32" s="48"/>
      <c r="BC32" s="49"/>
      <c r="BD32" s="47">
        <f t="shared" si="1"/>
        <v>95.040034812220156</v>
      </c>
    </row>
    <row r="33" spans="1:56" ht="18.75" thickBot="1" x14ac:dyDescent="0.3">
      <c r="A33" s="38">
        <f t="shared" si="4"/>
        <v>46168</v>
      </c>
      <c r="B33" s="26" t="s">
        <v>50</v>
      </c>
      <c r="C33" s="224"/>
      <c r="D33" s="224"/>
      <c r="E33" s="219" t="s">
        <v>73</v>
      </c>
      <c r="F33" s="220"/>
      <c r="G33" s="51"/>
      <c r="H33" s="51"/>
      <c r="I33" s="51"/>
      <c r="J33" s="55" t="s">
        <v>84</v>
      </c>
      <c r="K33" s="56"/>
      <c r="L33" s="108">
        <v>102833</v>
      </c>
      <c r="M33" s="108"/>
      <c r="N33" s="102"/>
      <c r="O33" s="103"/>
      <c r="P33" s="40"/>
      <c r="Q33" s="40"/>
      <c r="R33" s="97">
        <v>79700</v>
      </c>
      <c r="S33" s="40">
        <f>R33/L33</f>
        <v>0.77504303093364968</v>
      </c>
      <c r="T33" s="41">
        <v>9</v>
      </c>
      <c r="U33" s="41">
        <v>9</v>
      </c>
      <c r="V33" s="41">
        <v>9</v>
      </c>
      <c r="W33" s="41">
        <v>9</v>
      </c>
      <c r="X33" s="41">
        <v>9</v>
      </c>
      <c r="Y33" s="41">
        <v>9</v>
      </c>
      <c r="Z33" s="41">
        <v>9</v>
      </c>
      <c r="AA33" s="41">
        <v>9</v>
      </c>
      <c r="AB33" s="41">
        <v>10</v>
      </c>
      <c r="AC33" s="41">
        <v>10</v>
      </c>
      <c r="AD33" s="41">
        <v>10</v>
      </c>
      <c r="AE33" s="41">
        <v>10</v>
      </c>
      <c r="AF33" s="41">
        <v>10</v>
      </c>
      <c r="AG33" s="41">
        <v>10</v>
      </c>
      <c r="AH33" s="41">
        <v>10</v>
      </c>
      <c r="AI33" s="41">
        <v>10</v>
      </c>
      <c r="AJ33" s="41">
        <v>10</v>
      </c>
      <c r="AK33" s="41">
        <v>10</v>
      </c>
      <c r="AL33" s="41">
        <v>10</v>
      </c>
      <c r="AM33" s="41">
        <v>10</v>
      </c>
      <c r="AN33" s="41">
        <v>10</v>
      </c>
      <c r="AO33" s="41">
        <v>10</v>
      </c>
      <c r="AP33" s="41">
        <v>10</v>
      </c>
      <c r="AQ33" s="41">
        <v>10</v>
      </c>
      <c r="AR33" s="41">
        <v>11</v>
      </c>
      <c r="AS33" s="41">
        <v>11</v>
      </c>
      <c r="AT33" s="41">
        <v>11</v>
      </c>
      <c r="AU33" s="41">
        <v>11</v>
      </c>
      <c r="AV33" s="41">
        <v>11</v>
      </c>
      <c r="AW33" s="41">
        <v>11</v>
      </c>
      <c r="AX33" s="42">
        <f t="shared" si="2"/>
        <v>9.9333333333333336</v>
      </c>
      <c r="AY33" s="43">
        <f t="shared" si="0"/>
        <v>0.69149180728352078</v>
      </c>
      <c r="AZ33" s="42">
        <f t="shared" si="3"/>
        <v>6.9613269189616194</v>
      </c>
      <c r="BA33" s="44" t="s">
        <v>73</v>
      </c>
      <c r="BB33" s="48"/>
      <c r="BC33" s="49"/>
      <c r="BD33" s="47">
        <f t="shared" si="1"/>
        <v>93.038673081038382</v>
      </c>
    </row>
  </sheetData>
  <mergeCells count="30">
    <mergeCell ref="AZ25:AZ26"/>
    <mergeCell ref="BA25:BA26"/>
    <mergeCell ref="BB25:BB26"/>
    <mergeCell ref="E26:F26"/>
    <mergeCell ref="C27:C33"/>
    <mergeCell ref="D27:D33"/>
    <mergeCell ref="E27:F27"/>
    <mergeCell ref="E28:F28"/>
    <mergeCell ref="E29:F29"/>
    <mergeCell ref="AX25:AX26"/>
    <mergeCell ref="E30:F30"/>
    <mergeCell ref="E31:F31"/>
    <mergeCell ref="E32:F32"/>
    <mergeCell ref="E33:F33"/>
    <mergeCell ref="AY25:AY26"/>
    <mergeCell ref="A19:A20"/>
    <mergeCell ref="A22:A23"/>
    <mergeCell ref="C22:C25"/>
    <mergeCell ref="A24:A25"/>
    <mergeCell ref="T25:AW25"/>
    <mergeCell ref="D2:D20"/>
    <mergeCell ref="A3:A4"/>
    <mergeCell ref="C3:C20"/>
    <mergeCell ref="A5:A6"/>
    <mergeCell ref="A7:A8"/>
    <mergeCell ref="A9:A10"/>
    <mergeCell ref="A11:A12"/>
    <mergeCell ref="A13:A14"/>
    <mergeCell ref="A15:A16"/>
    <mergeCell ref="A17:A1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ET33"/>
  <sheetViews>
    <sheetView zoomScale="50" zoomScaleNormal="50" workbookViewId="0">
      <pane xSplit="9" ySplit="3" topLeftCell="R19" activePane="bottomRight" state="frozen"/>
      <selection activeCell="G184" sqref="G184"/>
      <selection pane="topRight" activeCell="G184" sqref="G184"/>
      <selection pane="bottomLeft" activeCell="G184" sqref="G184"/>
      <selection pane="bottomRight" activeCell="X28" sqref="X28"/>
    </sheetView>
  </sheetViews>
  <sheetFormatPr defaultRowHeight="21" x14ac:dyDescent="0.35"/>
  <cols>
    <col min="1" max="2" width="26.28515625" style="7" bestFit="1" customWidth="1"/>
    <col min="3" max="3" width="18.85546875" style="7" bestFit="1" customWidth="1"/>
    <col min="4" max="4" width="24.28515625" style="7" bestFit="1" customWidth="1"/>
    <col min="5" max="5" width="34.140625" style="66" bestFit="1" customWidth="1"/>
    <col min="6" max="6" width="21.42578125" style="24" bestFit="1" customWidth="1"/>
    <col min="7" max="7" width="15" style="24" bestFit="1" customWidth="1"/>
    <col min="8" max="8" width="13.7109375" style="7" customWidth="1"/>
    <col min="9" max="9" width="16.5703125" style="7" customWidth="1"/>
    <col min="10" max="10" width="19.5703125" style="24" customWidth="1"/>
    <col min="11" max="11" width="19.5703125" style="7" customWidth="1"/>
    <col min="12" max="12" width="15.7109375" style="7" customWidth="1"/>
    <col min="13" max="13" width="19.5703125" style="7" customWidth="1"/>
    <col min="14" max="14" width="17.28515625" style="7" bestFit="1" customWidth="1"/>
    <col min="15" max="15" width="15.7109375" style="7" customWidth="1"/>
    <col min="16" max="16" width="17.28515625" style="7" bestFit="1" customWidth="1"/>
    <col min="17" max="17" width="19.5703125" style="7" customWidth="1"/>
    <col min="18" max="18" width="14.5703125" style="7" customWidth="1"/>
    <col min="19" max="19" width="16.7109375" style="20" customWidth="1"/>
    <col min="20" max="20" width="23.5703125" style="7" customWidth="1"/>
    <col min="21" max="21" width="28.7109375" style="7" bestFit="1" customWidth="1"/>
    <col min="22" max="22" width="21.85546875" style="7" customWidth="1"/>
    <col min="23" max="23" width="21.85546875" style="7" bestFit="1" customWidth="1"/>
    <col min="24" max="24" width="25.28515625" style="7" customWidth="1"/>
    <col min="25" max="25" width="26" style="11" bestFit="1" customWidth="1"/>
    <col min="26" max="26" width="19.5703125" style="7" bestFit="1" customWidth="1"/>
    <col min="27" max="27" width="13.28515625" style="7" bestFit="1" customWidth="1"/>
    <col min="28" max="16384" width="9.140625" style="7"/>
  </cols>
  <sheetData>
    <row r="1" spans="1:150" ht="28.5" x14ac:dyDescent="0.45">
      <c r="A1" s="227" t="s">
        <v>106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1"/>
      <c r="Y1" s="9"/>
    </row>
    <row r="2" spans="1:150" ht="26.25" x14ac:dyDescent="0.4">
      <c r="A2" s="2"/>
      <c r="B2" s="2"/>
      <c r="C2" s="2"/>
      <c r="D2" s="2"/>
      <c r="E2" s="65"/>
      <c r="F2" s="22"/>
      <c r="G2" s="22"/>
      <c r="H2" s="2"/>
      <c r="I2" s="2"/>
      <c r="J2" s="22"/>
      <c r="K2" s="2"/>
      <c r="L2" s="2"/>
      <c r="M2" s="2"/>
      <c r="N2" s="2"/>
      <c r="O2" s="2"/>
      <c r="P2" s="2"/>
      <c r="Q2" s="2"/>
      <c r="R2" s="2"/>
      <c r="S2" s="19"/>
      <c r="T2" s="2"/>
      <c r="U2" s="21"/>
      <c r="V2" s="3"/>
      <c r="W2" s="2"/>
      <c r="X2" s="2"/>
      <c r="Y2" s="9"/>
    </row>
    <row r="3" spans="1:150" s="8" customFormat="1" ht="75.75" customHeight="1" x14ac:dyDescent="0.25">
      <c r="A3" s="4" t="s">
        <v>21</v>
      </c>
      <c r="B3" s="4" t="s">
        <v>22</v>
      </c>
      <c r="C3" s="4" t="s">
        <v>23</v>
      </c>
      <c r="D3" s="4" t="s">
        <v>24</v>
      </c>
      <c r="E3" s="23" t="s">
        <v>25</v>
      </c>
      <c r="F3" s="23" t="s">
        <v>26</v>
      </c>
      <c r="G3" s="23" t="s">
        <v>27</v>
      </c>
      <c r="H3" s="4" t="s">
        <v>28</v>
      </c>
      <c r="I3" s="4" t="s">
        <v>29</v>
      </c>
      <c r="J3" s="23" t="s">
        <v>30</v>
      </c>
      <c r="K3" s="4" t="s">
        <v>31</v>
      </c>
      <c r="L3" s="4" t="s">
        <v>32</v>
      </c>
      <c r="M3" s="4" t="s">
        <v>33</v>
      </c>
      <c r="N3" s="4" t="s">
        <v>34</v>
      </c>
      <c r="O3" s="4" t="s">
        <v>64</v>
      </c>
      <c r="P3" s="4" t="s">
        <v>66</v>
      </c>
      <c r="Q3" s="4" t="s">
        <v>35</v>
      </c>
      <c r="R3" s="4" t="s">
        <v>36</v>
      </c>
      <c r="S3" s="4" t="s">
        <v>37</v>
      </c>
      <c r="T3" s="4" t="s">
        <v>36</v>
      </c>
      <c r="U3" s="4" t="s">
        <v>38</v>
      </c>
      <c r="V3" s="5" t="s">
        <v>39</v>
      </c>
      <c r="W3" s="4" t="s">
        <v>334</v>
      </c>
      <c r="X3" s="4" t="s">
        <v>40</v>
      </c>
      <c r="Y3" s="10" t="s">
        <v>59</v>
      </c>
    </row>
    <row r="4" spans="1:150" s="154" customFormat="1" ht="46.5" x14ac:dyDescent="0.4">
      <c r="A4" s="138">
        <v>46147</v>
      </c>
      <c r="B4" s="138">
        <f>A4+2</f>
        <v>46149</v>
      </c>
      <c r="C4" s="139">
        <v>1</v>
      </c>
      <c r="D4" s="139">
        <v>1</v>
      </c>
      <c r="E4" s="140" t="s">
        <v>107</v>
      </c>
      <c r="F4" s="140" t="s">
        <v>87</v>
      </c>
      <c r="G4" s="139" t="s">
        <v>85</v>
      </c>
      <c r="H4" s="141">
        <v>1</v>
      </c>
      <c r="I4" s="142">
        <v>2</v>
      </c>
      <c r="J4" s="143">
        <v>106666</v>
      </c>
      <c r="K4" s="144">
        <v>100000</v>
      </c>
      <c r="L4" s="145">
        <f>K4/J4</f>
        <v>0.93750585941162135</v>
      </c>
      <c r="M4" s="144">
        <v>100800</v>
      </c>
      <c r="N4" s="145">
        <f>M4/J4</f>
        <v>0.94500590628691428</v>
      </c>
      <c r="O4" s="146">
        <v>96600</v>
      </c>
      <c r="P4" s="147">
        <f>O4/J4</f>
        <v>0.90563066019162619</v>
      </c>
      <c r="Q4" s="148">
        <v>90500</v>
      </c>
      <c r="R4" s="145">
        <f>Q4/J4</f>
        <v>0.84844280276751727</v>
      </c>
      <c r="S4" s="149">
        <v>97950</v>
      </c>
      <c r="T4" s="145">
        <f>S4/J4</f>
        <v>0.91828698929368313</v>
      </c>
      <c r="U4" s="150">
        <f>B4+17</f>
        <v>46166</v>
      </c>
      <c r="V4" s="151">
        <v>10.53</v>
      </c>
      <c r="W4" s="151">
        <v>1</v>
      </c>
      <c r="X4" s="151">
        <v>3150</v>
      </c>
      <c r="Y4" s="152" t="s">
        <v>335</v>
      </c>
      <c r="Z4" s="153"/>
    </row>
    <row r="5" spans="1:150" s="209" customFormat="1" ht="46.5" x14ac:dyDescent="0.5">
      <c r="A5" s="193">
        <v>46147</v>
      </c>
      <c r="B5" s="193">
        <f t="shared" ref="B5:B23" si="0">A5+2</f>
        <v>46149</v>
      </c>
      <c r="C5" s="194">
        <v>2</v>
      </c>
      <c r="D5" s="194">
        <v>1</v>
      </c>
      <c r="E5" s="195" t="s">
        <v>108</v>
      </c>
      <c r="F5" s="195" t="s">
        <v>87</v>
      </c>
      <c r="G5" s="194" t="s">
        <v>85</v>
      </c>
      <c r="H5" s="196">
        <v>2</v>
      </c>
      <c r="I5" s="197"/>
      <c r="J5" s="198">
        <v>100000</v>
      </c>
      <c r="K5" s="199">
        <v>78000</v>
      </c>
      <c r="L5" s="200">
        <f t="shared" ref="L5:L25" si="1">K5/J5</f>
        <v>0.78</v>
      </c>
      <c r="M5" s="199">
        <v>57400</v>
      </c>
      <c r="N5" s="200">
        <f t="shared" ref="N5:N25" si="2">M5/J5</f>
        <v>0.57399999999999995</v>
      </c>
      <c r="O5" s="201">
        <v>54600</v>
      </c>
      <c r="P5" s="202">
        <f t="shared" ref="P5:P14" si="3">O5/J5</f>
        <v>0.54600000000000004</v>
      </c>
      <c r="Q5" s="203">
        <v>47000</v>
      </c>
      <c r="R5" s="200">
        <f t="shared" ref="R5:R25" si="4">Q5/J5</f>
        <v>0.47</v>
      </c>
      <c r="S5" s="204"/>
      <c r="T5" s="200">
        <f t="shared" ref="T5" si="5">S5/J5</f>
        <v>0</v>
      </c>
      <c r="U5" s="205"/>
      <c r="V5" s="206"/>
      <c r="W5" s="206"/>
      <c r="X5" s="206"/>
      <c r="Y5" s="207"/>
      <c r="Z5" s="208"/>
    </row>
    <row r="6" spans="1:150" s="154" customFormat="1" ht="46.5" x14ac:dyDescent="0.5">
      <c r="A6" s="138">
        <v>46147</v>
      </c>
      <c r="B6" s="138">
        <f t="shared" si="0"/>
        <v>46149</v>
      </c>
      <c r="C6" s="139">
        <v>4</v>
      </c>
      <c r="D6" s="139">
        <v>3</v>
      </c>
      <c r="E6" s="140" t="s">
        <v>109</v>
      </c>
      <c r="F6" s="140" t="s">
        <v>89</v>
      </c>
      <c r="G6" s="139" t="s">
        <v>85</v>
      </c>
      <c r="H6" s="141">
        <v>3</v>
      </c>
      <c r="I6" s="142">
        <v>1</v>
      </c>
      <c r="J6" s="143">
        <v>102500</v>
      </c>
      <c r="K6" s="144">
        <v>96200</v>
      </c>
      <c r="L6" s="145">
        <f t="shared" si="1"/>
        <v>0.9385365853658536</v>
      </c>
      <c r="M6" s="144">
        <v>98700</v>
      </c>
      <c r="N6" s="145">
        <f t="shared" si="2"/>
        <v>0.96292682926829265</v>
      </c>
      <c r="O6" s="146">
        <v>96600</v>
      </c>
      <c r="P6" s="147">
        <f t="shared" si="3"/>
        <v>0.94243902439024385</v>
      </c>
      <c r="Q6" s="148">
        <v>89000</v>
      </c>
      <c r="R6" s="145">
        <f t="shared" si="4"/>
        <v>0.86829268292682926</v>
      </c>
      <c r="S6" s="149">
        <v>87150</v>
      </c>
      <c r="T6" s="145">
        <f>S6/J6</f>
        <v>0.85024390243902437</v>
      </c>
      <c r="U6" s="150">
        <f t="shared" ref="U6:U8" si="6">B6+17</f>
        <v>46166</v>
      </c>
      <c r="V6" s="151">
        <v>10.23</v>
      </c>
      <c r="W6" s="151">
        <v>2</v>
      </c>
      <c r="X6" s="151">
        <v>3150</v>
      </c>
      <c r="Y6" s="152" t="s">
        <v>336</v>
      </c>
      <c r="Z6" s="156"/>
    </row>
    <row r="7" spans="1:150" s="154" customFormat="1" ht="46.5" x14ac:dyDescent="0.5">
      <c r="A7" s="138">
        <v>46147</v>
      </c>
      <c r="B7" s="138">
        <f t="shared" si="0"/>
        <v>46149</v>
      </c>
      <c r="C7" s="139">
        <v>5</v>
      </c>
      <c r="D7" s="139">
        <v>3</v>
      </c>
      <c r="E7" s="140" t="s">
        <v>110</v>
      </c>
      <c r="F7" s="140" t="s">
        <v>89</v>
      </c>
      <c r="G7" s="139" t="s">
        <v>85</v>
      </c>
      <c r="H7" s="141">
        <v>4</v>
      </c>
      <c r="I7" s="142">
        <v>3</v>
      </c>
      <c r="J7" s="143">
        <v>100000</v>
      </c>
      <c r="K7" s="144">
        <v>87100</v>
      </c>
      <c r="L7" s="145">
        <f t="shared" si="1"/>
        <v>0.871</v>
      </c>
      <c r="M7" s="144">
        <v>72100</v>
      </c>
      <c r="N7" s="145">
        <f t="shared" si="2"/>
        <v>0.72099999999999997</v>
      </c>
      <c r="O7" s="146">
        <v>79800</v>
      </c>
      <c r="P7" s="147">
        <f t="shared" si="3"/>
        <v>0.79800000000000004</v>
      </c>
      <c r="Q7" s="148">
        <v>76000</v>
      </c>
      <c r="R7" s="145">
        <f t="shared" si="4"/>
        <v>0.76</v>
      </c>
      <c r="S7" s="149">
        <v>76550</v>
      </c>
      <c r="T7" s="145">
        <f t="shared" ref="T7:T9" si="7">S7/J7</f>
        <v>0.76549999999999996</v>
      </c>
      <c r="U7" s="150">
        <f t="shared" si="6"/>
        <v>46166</v>
      </c>
      <c r="V7" s="151">
        <v>10.199999999999999</v>
      </c>
      <c r="W7" s="151">
        <v>3</v>
      </c>
      <c r="X7" s="151">
        <v>3150</v>
      </c>
      <c r="Y7" s="152" t="s">
        <v>337</v>
      </c>
      <c r="Z7" s="156"/>
    </row>
    <row r="8" spans="1:150" s="154" customFormat="1" ht="46.5" x14ac:dyDescent="0.5">
      <c r="A8" s="138">
        <v>46147</v>
      </c>
      <c r="B8" s="138">
        <f t="shared" si="0"/>
        <v>46149</v>
      </c>
      <c r="C8" s="139">
        <v>6</v>
      </c>
      <c r="D8" s="139">
        <v>4</v>
      </c>
      <c r="E8" s="140" t="s">
        <v>111</v>
      </c>
      <c r="F8" s="140" t="s">
        <v>90</v>
      </c>
      <c r="G8" s="139" t="s">
        <v>85</v>
      </c>
      <c r="H8" s="141">
        <v>5</v>
      </c>
      <c r="I8" s="142">
        <v>4</v>
      </c>
      <c r="J8" s="143">
        <v>100000</v>
      </c>
      <c r="K8" s="144">
        <v>100000</v>
      </c>
      <c r="L8" s="145">
        <f t="shared" si="1"/>
        <v>1</v>
      </c>
      <c r="M8" s="144">
        <v>96600</v>
      </c>
      <c r="N8" s="145">
        <f t="shared" si="2"/>
        <v>0.96599999999999997</v>
      </c>
      <c r="O8" s="146">
        <v>91700</v>
      </c>
      <c r="P8" s="147">
        <f t="shared" si="3"/>
        <v>0.91700000000000004</v>
      </c>
      <c r="Q8" s="148">
        <v>87000</v>
      </c>
      <c r="R8" s="145">
        <f t="shared" si="4"/>
        <v>0.87</v>
      </c>
      <c r="S8" s="149">
        <v>86350</v>
      </c>
      <c r="T8" s="145">
        <f t="shared" si="7"/>
        <v>0.86350000000000005</v>
      </c>
      <c r="U8" s="150">
        <f t="shared" si="6"/>
        <v>46166</v>
      </c>
      <c r="V8" s="151">
        <v>10.130000000000001</v>
      </c>
      <c r="W8" s="151">
        <v>4</v>
      </c>
      <c r="X8" s="151">
        <v>3150</v>
      </c>
      <c r="Y8" s="157" t="s">
        <v>337</v>
      </c>
      <c r="Z8" s="155"/>
    </row>
    <row r="9" spans="1:150" s="209" customFormat="1" ht="46.5" x14ac:dyDescent="0.5">
      <c r="A9" s="193">
        <v>46147</v>
      </c>
      <c r="B9" s="193">
        <f t="shared" si="0"/>
        <v>46149</v>
      </c>
      <c r="C9" s="194">
        <v>7</v>
      </c>
      <c r="D9" s="194">
        <v>8</v>
      </c>
      <c r="E9" s="195" t="s">
        <v>112</v>
      </c>
      <c r="F9" s="195" t="s">
        <v>92</v>
      </c>
      <c r="G9" s="194" t="s">
        <v>85</v>
      </c>
      <c r="H9" s="196">
        <v>6</v>
      </c>
      <c r="I9" s="210">
        <v>5</v>
      </c>
      <c r="J9" s="198">
        <v>106875</v>
      </c>
      <c r="K9" s="199">
        <v>85150</v>
      </c>
      <c r="L9" s="200">
        <f t="shared" si="1"/>
        <v>0.79672514619883039</v>
      </c>
      <c r="M9" s="199">
        <v>69300</v>
      </c>
      <c r="N9" s="200">
        <f t="shared" si="2"/>
        <v>0.6484210526315789</v>
      </c>
      <c r="O9" s="201">
        <v>70000</v>
      </c>
      <c r="P9" s="202">
        <f t="shared" si="3"/>
        <v>0.65497076023391809</v>
      </c>
      <c r="Q9" s="203">
        <v>56000</v>
      </c>
      <c r="R9" s="200">
        <f t="shared" si="4"/>
        <v>0.52397660818713454</v>
      </c>
      <c r="S9" s="204">
        <v>52600</v>
      </c>
      <c r="T9" s="200">
        <f t="shared" si="7"/>
        <v>0.49216374269005847</v>
      </c>
      <c r="U9" s="205"/>
      <c r="V9" s="206"/>
      <c r="W9" s="206"/>
      <c r="X9" s="206"/>
      <c r="Y9" s="211"/>
      <c r="Z9" s="212"/>
    </row>
    <row r="10" spans="1:150" s="209" customFormat="1" ht="46.5" x14ac:dyDescent="0.5">
      <c r="A10" s="193">
        <v>46147</v>
      </c>
      <c r="B10" s="193">
        <f t="shared" si="0"/>
        <v>46149</v>
      </c>
      <c r="C10" s="194">
        <v>8</v>
      </c>
      <c r="D10" s="194">
        <v>8</v>
      </c>
      <c r="E10" s="195" t="s">
        <v>113</v>
      </c>
      <c r="F10" s="195" t="s">
        <v>92</v>
      </c>
      <c r="G10" s="194" t="s">
        <v>85</v>
      </c>
      <c r="H10" s="196">
        <v>7</v>
      </c>
      <c r="I10" s="197">
        <v>6</v>
      </c>
      <c r="J10" s="198">
        <v>100833</v>
      </c>
      <c r="K10" s="199">
        <v>73450</v>
      </c>
      <c r="L10" s="200">
        <f t="shared" si="1"/>
        <v>0.7284321601063144</v>
      </c>
      <c r="M10" s="199">
        <v>68600</v>
      </c>
      <c r="N10" s="200">
        <f t="shared" si="2"/>
        <v>0.68033282754653734</v>
      </c>
      <c r="O10" s="201">
        <v>63000</v>
      </c>
      <c r="P10" s="202">
        <f t="shared" si="3"/>
        <v>0.62479545386926894</v>
      </c>
      <c r="Q10" s="203">
        <v>41000</v>
      </c>
      <c r="R10" s="200">
        <f t="shared" si="4"/>
        <v>0.40661291442285757</v>
      </c>
      <c r="S10" s="204">
        <v>47800</v>
      </c>
      <c r="T10" s="200">
        <f>S10/J10</f>
        <v>0.47405115388811203</v>
      </c>
      <c r="U10" s="205"/>
      <c r="V10" s="206"/>
      <c r="W10" s="206"/>
      <c r="X10" s="206"/>
      <c r="Y10" s="211"/>
      <c r="Z10" s="212"/>
      <c r="AB10" s="209" t="s">
        <v>63</v>
      </c>
    </row>
    <row r="11" spans="1:150" s="154" customFormat="1" ht="46.5" x14ac:dyDescent="0.5">
      <c r="A11" s="138">
        <v>46147</v>
      </c>
      <c r="B11" s="138">
        <f t="shared" si="0"/>
        <v>46149</v>
      </c>
      <c r="C11" s="139">
        <v>9</v>
      </c>
      <c r="D11" s="139">
        <v>9</v>
      </c>
      <c r="E11" s="140" t="s">
        <v>114</v>
      </c>
      <c r="F11" s="140" t="s">
        <v>96</v>
      </c>
      <c r="G11" s="139" t="s">
        <v>85</v>
      </c>
      <c r="H11" s="141">
        <v>8</v>
      </c>
      <c r="I11" s="158">
        <v>7</v>
      </c>
      <c r="J11" s="143">
        <v>100000</v>
      </c>
      <c r="K11" s="144">
        <v>100000</v>
      </c>
      <c r="L11" s="145">
        <f t="shared" si="1"/>
        <v>1</v>
      </c>
      <c r="M11" s="144">
        <v>91700</v>
      </c>
      <c r="N11" s="145">
        <f t="shared" si="2"/>
        <v>0.91700000000000004</v>
      </c>
      <c r="O11" s="146">
        <v>92400</v>
      </c>
      <c r="P11" s="147">
        <f t="shared" si="3"/>
        <v>0.92400000000000004</v>
      </c>
      <c r="Q11" s="148">
        <v>83500</v>
      </c>
      <c r="R11" s="145">
        <f t="shared" si="4"/>
        <v>0.83499999999999996</v>
      </c>
      <c r="S11" s="149">
        <v>79550</v>
      </c>
      <c r="T11" s="145">
        <f t="shared" ref="T11:T14" si="8">S11/J11</f>
        <v>0.79549999999999998</v>
      </c>
      <c r="U11" s="150">
        <f t="shared" ref="U11:U16" si="9">B11+17</f>
        <v>46166</v>
      </c>
      <c r="V11" s="151">
        <v>10.33</v>
      </c>
      <c r="W11" s="151">
        <v>5</v>
      </c>
      <c r="X11" s="151">
        <v>3150</v>
      </c>
      <c r="Y11" s="157" t="s">
        <v>339</v>
      </c>
      <c r="Z11" s="159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0"/>
      <c r="BB11" s="160"/>
      <c r="BC11" s="160"/>
      <c r="BD11" s="160"/>
      <c r="BE11" s="160"/>
      <c r="BF11" s="160"/>
      <c r="BG11" s="160"/>
      <c r="BH11" s="160"/>
      <c r="BI11" s="160"/>
      <c r="BJ11" s="160"/>
      <c r="BK11" s="160"/>
      <c r="BL11" s="160"/>
      <c r="BM11" s="160"/>
      <c r="BN11" s="160"/>
      <c r="BO11" s="160"/>
      <c r="BP11" s="160"/>
      <c r="BQ11" s="160"/>
      <c r="BR11" s="160"/>
      <c r="BS11" s="160"/>
      <c r="BT11" s="160"/>
      <c r="BU11" s="160"/>
      <c r="BV11" s="160"/>
      <c r="BW11" s="160"/>
      <c r="BX11" s="160"/>
      <c r="BY11" s="160"/>
      <c r="BZ11" s="160"/>
      <c r="CA11" s="160"/>
      <c r="CB11" s="160"/>
      <c r="CC11" s="160"/>
      <c r="CD11" s="160"/>
      <c r="CE11" s="160"/>
      <c r="CF11" s="160"/>
      <c r="CG11" s="160"/>
      <c r="CH11" s="160"/>
      <c r="CI11" s="160"/>
      <c r="CJ11" s="160"/>
      <c r="CK11" s="160"/>
      <c r="CL11" s="160"/>
      <c r="CM11" s="160"/>
      <c r="CN11" s="160"/>
      <c r="CO11" s="160"/>
      <c r="CP11" s="160"/>
      <c r="CQ11" s="160"/>
      <c r="CR11" s="160"/>
      <c r="CS11" s="160"/>
      <c r="CT11" s="160"/>
      <c r="CU11" s="160"/>
      <c r="CV11" s="160"/>
      <c r="CW11" s="160"/>
      <c r="CX11" s="160"/>
      <c r="CY11" s="160"/>
      <c r="CZ11" s="160"/>
      <c r="DA11" s="160"/>
      <c r="DB11" s="160"/>
      <c r="DC11" s="160"/>
      <c r="DD11" s="160"/>
      <c r="DE11" s="160"/>
      <c r="DF11" s="160"/>
      <c r="DG11" s="160"/>
      <c r="DH11" s="160"/>
      <c r="DI11" s="160"/>
      <c r="DJ11" s="160"/>
      <c r="DK11" s="160"/>
      <c r="DL11" s="160"/>
      <c r="DM11" s="160"/>
      <c r="DN11" s="160"/>
      <c r="DO11" s="160"/>
      <c r="DP11" s="160"/>
      <c r="DQ11" s="160"/>
      <c r="DR11" s="160"/>
      <c r="DS11" s="160"/>
      <c r="DT11" s="160"/>
      <c r="DU11" s="160"/>
      <c r="DV11" s="160"/>
      <c r="DW11" s="160"/>
      <c r="DX11" s="160"/>
      <c r="DY11" s="160"/>
      <c r="DZ11" s="160"/>
      <c r="EA11" s="160"/>
      <c r="EB11" s="160"/>
      <c r="EC11" s="160"/>
      <c r="ED11" s="160"/>
      <c r="EE11" s="160"/>
      <c r="EF11" s="160"/>
      <c r="EG11" s="160"/>
      <c r="EH11" s="160"/>
      <c r="EI11" s="160"/>
      <c r="EJ11" s="160"/>
      <c r="EK11" s="160"/>
      <c r="EL11" s="160"/>
      <c r="EM11" s="160"/>
      <c r="EN11" s="160"/>
      <c r="EO11" s="160"/>
      <c r="EP11" s="160"/>
      <c r="EQ11" s="160"/>
      <c r="ER11" s="160"/>
      <c r="ES11" s="160"/>
      <c r="ET11" s="160"/>
    </row>
    <row r="12" spans="1:150" s="154" customFormat="1" ht="46.5" x14ac:dyDescent="0.5">
      <c r="A12" s="138">
        <v>46147</v>
      </c>
      <c r="B12" s="138">
        <f t="shared" si="0"/>
        <v>46149</v>
      </c>
      <c r="C12" s="139">
        <v>10</v>
      </c>
      <c r="D12" s="139">
        <v>12</v>
      </c>
      <c r="E12" s="140" t="s">
        <v>115</v>
      </c>
      <c r="F12" s="140" t="s">
        <v>91</v>
      </c>
      <c r="G12" s="139" t="s">
        <v>85</v>
      </c>
      <c r="H12" s="141">
        <v>9</v>
      </c>
      <c r="I12" s="158">
        <v>8</v>
      </c>
      <c r="J12" s="143">
        <v>103000</v>
      </c>
      <c r="K12" s="144">
        <v>96850</v>
      </c>
      <c r="L12" s="145">
        <f t="shared" si="1"/>
        <v>0.94029126213592229</v>
      </c>
      <c r="M12" s="144">
        <v>84700</v>
      </c>
      <c r="N12" s="145">
        <f t="shared" si="2"/>
        <v>0.82233009708737859</v>
      </c>
      <c r="O12" s="146">
        <v>86100</v>
      </c>
      <c r="P12" s="147">
        <f t="shared" si="3"/>
        <v>0.83592233009708738</v>
      </c>
      <c r="Q12" s="148">
        <v>79500</v>
      </c>
      <c r="R12" s="145">
        <f t="shared" si="4"/>
        <v>0.77184466019417475</v>
      </c>
      <c r="S12" s="149">
        <v>76550</v>
      </c>
      <c r="T12" s="145">
        <f t="shared" si="8"/>
        <v>0.74320388349514566</v>
      </c>
      <c r="U12" s="150">
        <f t="shared" si="9"/>
        <v>46166</v>
      </c>
      <c r="V12" s="151">
        <v>10.33</v>
      </c>
      <c r="W12" s="151">
        <v>6</v>
      </c>
      <c r="X12" s="151">
        <v>3150</v>
      </c>
      <c r="Y12" s="157" t="s">
        <v>338</v>
      </c>
      <c r="Z12" s="156"/>
    </row>
    <row r="13" spans="1:150" s="154" customFormat="1" ht="48.75" customHeight="1" x14ac:dyDescent="0.5">
      <c r="A13" s="138">
        <v>46147</v>
      </c>
      <c r="B13" s="138">
        <f t="shared" si="0"/>
        <v>46149</v>
      </c>
      <c r="C13" s="139">
        <v>12</v>
      </c>
      <c r="D13" s="139">
        <v>2</v>
      </c>
      <c r="E13" s="140" t="s">
        <v>116</v>
      </c>
      <c r="F13" s="140" t="s">
        <v>88</v>
      </c>
      <c r="G13" s="139" t="s">
        <v>86</v>
      </c>
      <c r="H13" s="141">
        <v>10</v>
      </c>
      <c r="I13" s="142">
        <v>9</v>
      </c>
      <c r="J13" s="143">
        <v>100000</v>
      </c>
      <c r="K13" s="144">
        <v>77350</v>
      </c>
      <c r="L13" s="145">
        <f t="shared" si="1"/>
        <v>0.77349999999999997</v>
      </c>
      <c r="M13" s="144">
        <v>60900</v>
      </c>
      <c r="N13" s="145">
        <f t="shared" si="2"/>
        <v>0.60899999999999999</v>
      </c>
      <c r="O13" s="146">
        <v>70000</v>
      </c>
      <c r="P13" s="147">
        <f t="shared" si="3"/>
        <v>0.7</v>
      </c>
      <c r="Q13" s="148">
        <v>58500</v>
      </c>
      <c r="R13" s="145">
        <f t="shared" si="4"/>
        <v>0.58499999999999996</v>
      </c>
      <c r="S13" s="149">
        <v>64150</v>
      </c>
      <c r="T13" s="145">
        <f t="shared" si="8"/>
        <v>0.64149999999999996</v>
      </c>
      <c r="U13" s="150">
        <f t="shared" si="9"/>
        <v>46166</v>
      </c>
      <c r="V13" s="151">
        <v>10.33</v>
      </c>
      <c r="W13" s="151">
        <v>7</v>
      </c>
      <c r="X13" s="151">
        <v>3150</v>
      </c>
      <c r="Y13" s="152" t="s">
        <v>338</v>
      </c>
      <c r="Z13" s="156"/>
    </row>
    <row r="14" spans="1:150" s="160" customFormat="1" ht="46.5" x14ac:dyDescent="0.5">
      <c r="A14" s="138">
        <v>46147</v>
      </c>
      <c r="B14" s="138">
        <f t="shared" si="0"/>
        <v>46149</v>
      </c>
      <c r="C14" s="139">
        <v>14</v>
      </c>
      <c r="D14" s="139">
        <v>6</v>
      </c>
      <c r="E14" s="140" t="s">
        <v>117</v>
      </c>
      <c r="F14" s="140" t="s">
        <v>118</v>
      </c>
      <c r="G14" s="139" t="s">
        <v>86</v>
      </c>
      <c r="H14" s="141">
        <v>11</v>
      </c>
      <c r="I14" s="141">
        <v>10</v>
      </c>
      <c r="J14" s="143">
        <v>108000</v>
      </c>
      <c r="K14" s="161">
        <v>87750</v>
      </c>
      <c r="L14" s="145">
        <f t="shared" si="1"/>
        <v>0.8125</v>
      </c>
      <c r="M14" s="161">
        <v>95900</v>
      </c>
      <c r="N14" s="145">
        <f t="shared" si="2"/>
        <v>0.88796296296296295</v>
      </c>
      <c r="O14" s="146">
        <v>92400</v>
      </c>
      <c r="P14" s="147">
        <f t="shared" si="3"/>
        <v>0.85555555555555551</v>
      </c>
      <c r="Q14" s="148">
        <v>87000</v>
      </c>
      <c r="R14" s="145">
        <f t="shared" si="4"/>
        <v>0.80555555555555558</v>
      </c>
      <c r="S14" s="149">
        <v>81150</v>
      </c>
      <c r="T14" s="145">
        <f t="shared" si="8"/>
        <v>0.75138888888888888</v>
      </c>
      <c r="U14" s="150">
        <f t="shared" si="9"/>
        <v>46166</v>
      </c>
      <c r="V14" s="151">
        <v>10.37</v>
      </c>
      <c r="W14" s="151">
        <v>8</v>
      </c>
      <c r="X14" s="151">
        <v>3150</v>
      </c>
      <c r="Y14" s="152" t="s">
        <v>337</v>
      </c>
      <c r="Z14" s="156"/>
    </row>
    <row r="15" spans="1:150" s="160" customFormat="1" ht="46.5" x14ac:dyDescent="0.5">
      <c r="A15" s="138">
        <v>46147</v>
      </c>
      <c r="B15" s="138">
        <f t="shared" si="0"/>
        <v>46149</v>
      </c>
      <c r="C15" s="139">
        <v>15</v>
      </c>
      <c r="D15" s="139">
        <v>7</v>
      </c>
      <c r="E15" s="140" t="s">
        <v>119</v>
      </c>
      <c r="F15" s="140" t="s">
        <v>97</v>
      </c>
      <c r="G15" s="139" t="s">
        <v>86</v>
      </c>
      <c r="H15" s="141">
        <v>12</v>
      </c>
      <c r="I15" s="141">
        <v>11</v>
      </c>
      <c r="J15" s="143">
        <v>102500</v>
      </c>
      <c r="K15" s="162">
        <v>81900</v>
      </c>
      <c r="L15" s="145">
        <f t="shared" si="1"/>
        <v>0.79902439024390248</v>
      </c>
      <c r="M15" s="162">
        <v>87500</v>
      </c>
      <c r="N15" s="145">
        <f t="shared" si="2"/>
        <v>0.85365853658536583</v>
      </c>
      <c r="O15" s="146">
        <v>91000</v>
      </c>
      <c r="P15" s="147">
        <f>O15/J15</f>
        <v>0.8878048780487805</v>
      </c>
      <c r="Q15" s="148">
        <v>83000</v>
      </c>
      <c r="R15" s="145">
        <f t="shared" si="4"/>
        <v>0.80975609756097566</v>
      </c>
      <c r="S15" s="149">
        <v>64950</v>
      </c>
      <c r="T15" s="145">
        <f>S15/J15</f>
        <v>0.63365853658536586</v>
      </c>
      <c r="U15" s="150">
        <f t="shared" si="9"/>
        <v>46166</v>
      </c>
      <c r="V15" s="151">
        <v>10.4</v>
      </c>
      <c r="W15" s="151">
        <v>9</v>
      </c>
      <c r="X15" s="151">
        <v>3150</v>
      </c>
      <c r="Y15" s="152" t="s">
        <v>336</v>
      </c>
      <c r="Z15" s="156"/>
      <c r="AB15" s="163"/>
    </row>
    <row r="16" spans="1:150" s="160" customFormat="1" ht="46.5" x14ac:dyDescent="0.5">
      <c r="A16" s="138">
        <v>46147</v>
      </c>
      <c r="B16" s="138">
        <f t="shared" si="0"/>
        <v>46149</v>
      </c>
      <c r="C16" s="139">
        <v>16</v>
      </c>
      <c r="D16" s="139">
        <v>9</v>
      </c>
      <c r="E16" s="140" t="s">
        <v>120</v>
      </c>
      <c r="F16" s="140" t="s">
        <v>96</v>
      </c>
      <c r="G16" s="139" t="s">
        <v>86</v>
      </c>
      <c r="H16" s="141">
        <v>13</v>
      </c>
      <c r="I16" s="141">
        <v>12</v>
      </c>
      <c r="J16" s="143">
        <v>100000</v>
      </c>
      <c r="K16" s="162">
        <v>79950</v>
      </c>
      <c r="L16" s="145">
        <f t="shared" si="1"/>
        <v>0.79949999999999999</v>
      </c>
      <c r="M16" s="161">
        <v>68600</v>
      </c>
      <c r="N16" s="145">
        <f t="shared" si="2"/>
        <v>0.68600000000000005</v>
      </c>
      <c r="O16" s="146">
        <v>72800</v>
      </c>
      <c r="P16" s="147">
        <f t="shared" ref="P16:P18" si="10">O16/J16</f>
        <v>0.72799999999999998</v>
      </c>
      <c r="Q16" s="148">
        <v>62500</v>
      </c>
      <c r="R16" s="145">
        <f t="shared" si="4"/>
        <v>0.625</v>
      </c>
      <c r="S16" s="149">
        <v>60950</v>
      </c>
      <c r="T16" s="145">
        <f>S16/J16</f>
        <v>0.60950000000000004</v>
      </c>
      <c r="U16" s="150">
        <f t="shared" si="9"/>
        <v>46166</v>
      </c>
      <c r="V16" s="151">
        <v>10.3</v>
      </c>
      <c r="W16" s="151">
        <v>10</v>
      </c>
      <c r="X16" s="151">
        <v>3150</v>
      </c>
      <c r="Y16" s="152" t="s">
        <v>340</v>
      </c>
      <c r="Z16" s="155"/>
      <c r="AA16" s="153"/>
    </row>
    <row r="17" spans="1:27" s="124" customFormat="1" ht="46.5" x14ac:dyDescent="0.5">
      <c r="A17" s="109">
        <v>46148</v>
      </c>
      <c r="B17" s="109">
        <f t="shared" si="0"/>
        <v>46150</v>
      </c>
      <c r="C17" s="110">
        <v>4</v>
      </c>
      <c r="D17" s="110">
        <v>7</v>
      </c>
      <c r="E17" s="111" t="s">
        <v>121</v>
      </c>
      <c r="F17" s="111" t="s">
        <v>97</v>
      </c>
      <c r="G17" s="110" t="s">
        <v>85</v>
      </c>
      <c r="H17" s="112">
        <v>14</v>
      </c>
      <c r="I17" s="112">
        <v>13</v>
      </c>
      <c r="J17" s="113">
        <v>100000</v>
      </c>
      <c r="K17" s="125">
        <v>103350</v>
      </c>
      <c r="L17" s="114">
        <f t="shared" si="1"/>
        <v>1.0335000000000001</v>
      </c>
      <c r="M17" s="123">
        <v>102900</v>
      </c>
      <c r="N17" s="114">
        <f t="shared" si="2"/>
        <v>1.0289999999999999</v>
      </c>
      <c r="O17" s="115">
        <v>96600</v>
      </c>
      <c r="P17" s="116">
        <f t="shared" si="10"/>
        <v>0.96599999999999997</v>
      </c>
      <c r="Q17" s="117">
        <v>88500</v>
      </c>
      <c r="R17" s="114">
        <f t="shared" si="4"/>
        <v>0.88500000000000001</v>
      </c>
      <c r="S17" s="118">
        <v>86150</v>
      </c>
      <c r="T17" s="114">
        <f>S17/J17</f>
        <v>0.86150000000000004</v>
      </c>
      <c r="U17" s="119">
        <f>B17+17</f>
        <v>46167</v>
      </c>
      <c r="V17" s="120">
        <v>10.1</v>
      </c>
      <c r="W17" s="120">
        <v>11</v>
      </c>
      <c r="X17" s="120">
        <v>3150</v>
      </c>
      <c r="Y17" s="121" t="s">
        <v>341</v>
      </c>
      <c r="Z17" s="122"/>
    </row>
    <row r="18" spans="1:27" s="124" customFormat="1" ht="46.5" x14ac:dyDescent="0.5">
      <c r="A18" s="109">
        <v>46148</v>
      </c>
      <c r="B18" s="109">
        <f t="shared" si="0"/>
        <v>46150</v>
      </c>
      <c r="C18" s="110">
        <v>5</v>
      </c>
      <c r="D18" s="110">
        <v>9</v>
      </c>
      <c r="E18" s="111" t="s">
        <v>122</v>
      </c>
      <c r="F18" s="111" t="s">
        <v>96</v>
      </c>
      <c r="G18" s="110" t="s">
        <v>85</v>
      </c>
      <c r="H18" s="112">
        <v>15</v>
      </c>
      <c r="I18" s="112">
        <v>14</v>
      </c>
      <c r="J18" s="113">
        <v>107500</v>
      </c>
      <c r="K18" s="125">
        <v>107900</v>
      </c>
      <c r="L18" s="114">
        <f t="shared" si="1"/>
        <v>1.003720930232558</v>
      </c>
      <c r="M18" s="123">
        <v>98700</v>
      </c>
      <c r="N18" s="114">
        <f t="shared" si="2"/>
        <v>0.91813953488372091</v>
      </c>
      <c r="O18" s="115">
        <v>98000</v>
      </c>
      <c r="P18" s="116">
        <f t="shared" si="10"/>
        <v>0.91162790697674423</v>
      </c>
      <c r="Q18" s="117">
        <v>93000</v>
      </c>
      <c r="R18" s="114">
        <f t="shared" si="4"/>
        <v>0.8651162790697674</v>
      </c>
      <c r="S18" s="118">
        <v>105850</v>
      </c>
      <c r="T18" s="114">
        <f t="shared" ref="T18:T22" si="11">S18/J18</f>
        <v>0.98465116279069764</v>
      </c>
      <c r="U18" s="119">
        <f t="shared" ref="U18:U22" si="12">B18+17</f>
        <v>46167</v>
      </c>
      <c r="V18" s="120">
        <v>10.199999999999999</v>
      </c>
      <c r="W18" s="120">
        <v>12</v>
      </c>
      <c r="X18" s="120">
        <v>3150</v>
      </c>
      <c r="Y18" s="121" t="s">
        <v>342</v>
      </c>
      <c r="Z18" s="122"/>
      <c r="AA18" s="127"/>
    </row>
    <row r="19" spans="1:27" s="124" customFormat="1" ht="46.5" x14ac:dyDescent="0.5">
      <c r="A19" s="109">
        <v>46148</v>
      </c>
      <c r="B19" s="109">
        <f t="shared" si="0"/>
        <v>46150</v>
      </c>
      <c r="C19" s="110">
        <v>6</v>
      </c>
      <c r="D19" s="110">
        <v>11</v>
      </c>
      <c r="E19" s="111" t="s">
        <v>123</v>
      </c>
      <c r="F19" s="111" t="s">
        <v>124</v>
      </c>
      <c r="G19" s="110" t="s">
        <v>85</v>
      </c>
      <c r="H19" s="112">
        <v>16</v>
      </c>
      <c r="I19" s="112">
        <v>15</v>
      </c>
      <c r="J19" s="113">
        <v>100000</v>
      </c>
      <c r="K19" s="125">
        <v>108550</v>
      </c>
      <c r="L19" s="114">
        <f t="shared" si="1"/>
        <v>1.0854999999999999</v>
      </c>
      <c r="M19" s="123">
        <v>102900</v>
      </c>
      <c r="N19" s="114">
        <f t="shared" si="2"/>
        <v>1.0289999999999999</v>
      </c>
      <c r="O19" s="115">
        <v>99400</v>
      </c>
      <c r="P19" s="116">
        <f t="shared" ref="P19:P23" si="13">O19/J19</f>
        <v>0.99399999999999999</v>
      </c>
      <c r="Q19" s="117">
        <v>91500</v>
      </c>
      <c r="R19" s="114">
        <f t="shared" si="4"/>
        <v>0.91500000000000004</v>
      </c>
      <c r="S19" s="118">
        <v>99750</v>
      </c>
      <c r="T19" s="114">
        <f t="shared" si="11"/>
        <v>0.99750000000000005</v>
      </c>
      <c r="U19" s="119">
        <f t="shared" si="12"/>
        <v>46167</v>
      </c>
      <c r="V19" s="164">
        <v>10.029999999999999</v>
      </c>
      <c r="W19" s="120">
        <v>13</v>
      </c>
      <c r="X19" s="120">
        <v>3150</v>
      </c>
      <c r="Y19" s="121" t="s">
        <v>343</v>
      </c>
      <c r="Z19" s="122"/>
    </row>
    <row r="20" spans="1:27" s="124" customFormat="1" ht="46.5" x14ac:dyDescent="0.5">
      <c r="A20" s="109">
        <v>46148</v>
      </c>
      <c r="B20" s="109">
        <f t="shared" si="0"/>
        <v>46150</v>
      </c>
      <c r="C20" s="110">
        <v>7</v>
      </c>
      <c r="D20" s="110">
        <v>11</v>
      </c>
      <c r="E20" s="111" t="s">
        <v>125</v>
      </c>
      <c r="F20" s="111" t="s">
        <v>124</v>
      </c>
      <c r="G20" s="110" t="s">
        <v>85</v>
      </c>
      <c r="H20" s="112">
        <v>17</v>
      </c>
      <c r="I20" s="112">
        <v>16</v>
      </c>
      <c r="J20" s="113">
        <v>100000</v>
      </c>
      <c r="K20" s="125">
        <v>103350</v>
      </c>
      <c r="L20" s="114">
        <f t="shared" si="1"/>
        <v>1.0335000000000001</v>
      </c>
      <c r="M20" s="123">
        <v>105000</v>
      </c>
      <c r="N20" s="114">
        <f t="shared" si="2"/>
        <v>1.05</v>
      </c>
      <c r="O20" s="115">
        <v>100000</v>
      </c>
      <c r="P20" s="116">
        <f t="shared" si="13"/>
        <v>1</v>
      </c>
      <c r="Q20" s="117">
        <v>96500</v>
      </c>
      <c r="R20" s="114">
        <f t="shared" si="4"/>
        <v>0.96499999999999997</v>
      </c>
      <c r="S20" s="118">
        <v>92550</v>
      </c>
      <c r="T20" s="114">
        <f t="shared" si="11"/>
        <v>0.92549999999999999</v>
      </c>
      <c r="U20" s="119">
        <f t="shared" si="12"/>
        <v>46167</v>
      </c>
      <c r="V20" s="164">
        <v>9.9</v>
      </c>
      <c r="W20" s="120">
        <v>14</v>
      </c>
      <c r="X20" s="120">
        <v>3150</v>
      </c>
      <c r="Y20" s="121" t="s">
        <v>335</v>
      </c>
      <c r="Z20" s="126"/>
    </row>
    <row r="21" spans="1:27" s="124" customFormat="1" ht="46.5" x14ac:dyDescent="0.5">
      <c r="A21" s="109">
        <v>46148</v>
      </c>
      <c r="B21" s="109">
        <f t="shared" si="0"/>
        <v>46150</v>
      </c>
      <c r="C21" s="110">
        <v>10</v>
      </c>
      <c r="D21" s="110">
        <v>14</v>
      </c>
      <c r="E21" s="111" t="s">
        <v>126</v>
      </c>
      <c r="F21" s="111" t="s">
        <v>127</v>
      </c>
      <c r="G21" s="110" t="s">
        <v>85</v>
      </c>
      <c r="H21" s="112">
        <v>18</v>
      </c>
      <c r="I21" s="112">
        <v>17</v>
      </c>
      <c r="J21" s="113">
        <v>100000</v>
      </c>
      <c r="K21" s="125">
        <v>104650</v>
      </c>
      <c r="L21" s="114">
        <f t="shared" si="1"/>
        <v>1.0465</v>
      </c>
      <c r="M21" s="165">
        <v>106400</v>
      </c>
      <c r="N21" s="114">
        <f t="shared" si="2"/>
        <v>1.0640000000000001</v>
      </c>
      <c r="O21" s="115">
        <v>100000</v>
      </c>
      <c r="P21" s="116">
        <f t="shared" si="13"/>
        <v>1</v>
      </c>
      <c r="Q21" s="117">
        <v>96000</v>
      </c>
      <c r="R21" s="114">
        <f t="shared" si="4"/>
        <v>0.96</v>
      </c>
      <c r="S21" s="118">
        <v>93650</v>
      </c>
      <c r="T21" s="114">
        <f t="shared" si="11"/>
        <v>0.9365</v>
      </c>
      <c r="U21" s="119">
        <f t="shared" si="12"/>
        <v>46167</v>
      </c>
      <c r="V21" s="164">
        <v>10.029999999999999</v>
      </c>
      <c r="W21" s="120">
        <v>15</v>
      </c>
      <c r="X21" s="120">
        <v>3150</v>
      </c>
      <c r="Y21" s="121" t="s">
        <v>344</v>
      </c>
      <c r="Z21" s="122"/>
    </row>
    <row r="22" spans="1:27" s="124" customFormat="1" ht="46.5" x14ac:dyDescent="0.5">
      <c r="A22" s="109">
        <v>46148</v>
      </c>
      <c r="B22" s="109">
        <f t="shared" si="0"/>
        <v>46150</v>
      </c>
      <c r="C22" s="110">
        <v>14</v>
      </c>
      <c r="D22" s="110">
        <v>11</v>
      </c>
      <c r="E22" s="111" t="s">
        <v>128</v>
      </c>
      <c r="F22" s="111" t="s">
        <v>124</v>
      </c>
      <c r="G22" s="110" t="s">
        <v>86</v>
      </c>
      <c r="H22" s="112">
        <v>20</v>
      </c>
      <c r="I22" s="112">
        <v>18</v>
      </c>
      <c r="J22" s="113">
        <v>105000</v>
      </c>
      <c r="K22" s="125">
        <v>102700</v>
      </c>
      <c r="L22" s="114">
        <f t="shared" si="1"/>
        <v>0.97809523809523813</v>
      </c>
      <c r="M22" s="165">
        <v>102900</v>
      </c>
      <c r="N22" s="114">
        <f t="shared" si="2"/>
        <v>0.98</v>
      </c>
      <c r="O22" s="115">
        <v>100000</v>
      </c>
      <c r="P22" s="116">
        <f t="shared" si="13"/>
        <v>0.95238095238095233</v>
      </c>
      <c r="Q22" s="117">
        <v>96333</v>
      </c>
      <c r="R22" s="114">
        <f t="shared" si="4"/>
        <v>0.91745714285714286</v>
      </c>
      <c r="S22" s="118">
        <v>93150</v>
      </c>
      <c r="T22" s="114">
        <f t="shared" si="11"/>
        <v>0.88714285714285712</v>
      </c>
      <c r="U22" s="119">
        <f t="shared" si="12"/>
        <v>46167</v>
      </c>
      <c r="V22" s="164">
        <v>9.93</v>
      </c>
      <c r="W22" s="120">
        <v>16</v>
      </c>
      <c r="X22" s="120">
        <v>3150</v>
      </c>
      <c r="Y22" s="121" t="s">
        <v>345</v>
      </c>
      <c r="Z22" s="122"/>
    </row>
    <row r="23" spans="1:27" s="183" customFormat="1" ht="46.5" x14ac:dyDescent="0.4">
      <c r="A23" s="166">
        <v>46148</v>
      </c>
      <c r="B23" s="166">
        <f t="shared" si="0"/>
        <v>46150</v>
      </c>
      <c r="C23" s="167">
        <v>1</v>
      </c>
      <c r="D23" s="167">
        <v>3</v>
      </c>
      <c r="E23" s="168" t="s">
        <v>193</v>
      </c>
      <c r="F23" s="168" t="s">
        <v>88</v>
      </c>
      <c r="G23" s="167" t="s">
        <v>85</v>
      </c>
      <c r="H23" s="169">
        <v>20</v>
      </c>
      <c r="I23" s="169">
        <v>19</v>
      </c>
      <c r="J23" s="170">
        <v>106666</v>
      </c>
      <c r="K23" s="171">
        <v>103600</v>
      </c>
      <c r="L23" s="172">
        <f t="shared" si="1"/>
        <v>0.9712560703504397</v>
      </c>
      <c r="M23" s="173">
        <v>98000</v>
      </c>
      <c r="N23" s="172">
        <f t="shared" si="2"/>
        <v>0.91875574222338885</v>
      </c>
      <c r="O23" s="174">
        <v>98000</v>
      </c>
      <c r="P23" s="175">
        <f t="shared" si="13"/>
        <v>0.91875574222338885</v>
      </c>
      <c r="Q23" s="176">
        <v>95900</v>
      </c>
      <c r="R23" s="172">
        <f t="shared" si="4"/>
        <v>0.89906811917574481</v>
      </c>
      <c r="S23" s="177">
        <v>94850</v>
      </c>
      <c r="T23" s="172">
        <f t="shared" ref="T23:T25" si="14">S23/J23</f>
        <v>0.88922430765192284</v>
      </c>
      <c r="U23" s="178">
        <f>B23+17</f>
        <v>46167</v>
      </c>
      <c r="V23" s="179">
        <v>10.130000000000001</v>
      </c>
      <c r="W23" s="180">
        <v>17</v>
      </c>
      <c r="X23" s="180">
        <v>3150</v>
      </c>
      <c r="Y23" s="181" t="s">
        <v>340</v>
      </c>
      <c r="Z23" s="182"/>
    </row>
    <row r="24" spans="1:27" ht="46.5" customHeight="1" x14ac:dyDescent="0.4">
      <c r="A24" s="67">
        <v>46149</v>
      </c>
      <c r="B24" s="79">
        <f>A24+2</f>
        <v>46151</v>
      </c>
      <c r="C24" s="68"/>
      <c r="D24" s="68"/>
      <c r="E24" s="69">
        <v>7</v>
      </c>
      <c r="F24" s="76"/>
      <c r="G24" s="68"/>
      <c r="H24" s="70">
        <v>21</v>
      </c>
      <c r="I24" s="70">
        <v>21</v>
      </c>
      <c r="J24" s="108">
        <v>98664</v>
      </c>
      <c r="K24" s="98">
        <v>98150</v>
      </c>
      <c r="L24" s="71">
        <f t="shared" si="1"/>
        <v>0.99479039974053352</v>
      </c>
      <c r="M24" s="99">
        <v>96600</v>
      </c>
      <c r="N24" s="71">
        <f t="shared" si="2"/>
        <v>0.97908051568961318</v>
      </c>
      <c r="O24" s="97">
        <v>93100</v>
      </c>
      <c r="P24" s="72">
        <f>O24/J24</f>
        <v>0.9436065839617287</v>
      </c>
      <c r="Q24" s="97">
        <v>85000</v>
      </c>
      <c r="R24" s="71">
        <f t="shared" si="4"/>
        <v>0.86150977053433875</v>
      </c>
      <c r="S24" s="97">
        <v>80100</v>
      </c>
      <c r="T24" s="71">
        <f t="shared" si="14"/>
        <v>0.81184626611530042</v>
      </c>
      <c r="U24" s="73">
        <f>B24+17</f>
        <v>46168</v>
      </c>
      <c r="V24" s="75">
        <v>10.17</v>
      </c>
      <c r="W24" s="134">
        <v>41</v>
      </c>
      <c r="X24" s="134">
        <v>4500</v>
      </c>
      <c r="Y24" s="229" t="s">
        <v>337</v>
      </c>
      <c r="Z24" s="74"/>
    </row>
    <row r="25" spans="1:27" s="209" customFormat="1" ht="46.5" customHeight="1" x14ac:dyDescent="0.4">
      <c r="A25" s="193">
        <v>46149</v>
      </c>
      <c r="B25" s="240">
        <f t="shared" ref="B25:B27" si="15">A25+2</f>
        <v>46151</v>
      </c>
      <c r="C25" s="194"/>
      <c r="D25" s="194"/>
      <c r="E25" s="195">
        <v>7</v>
      </c>
      <c r="F25" s="241"/>
      <c r="G25" s="194"/>
      <c r="H25" s="196">
        <v>22</v>
      </c>
      <c r="I25" s="196">
        <v>22</v>
      </c>
      <c r="J25" s="198">
        <v>98831</v>
      </c>
      <c r="K25" s="242">
        <v>95550</v>
      </c>
      <c r="L25" s="200">
        <f t="shared" si="1"/>
        <v>0.96680191437909158</v>
      </c>
      <c r="M25" s="243">
        <v>98000</v>
      </c>
      <c r="N25" s="200">
        <f t="shared" si="2"/>
        <v>0.9915917070554785</v>
      </c>
      <c r="O25" s="201">
        <v>95200</v>
      </c>
      <c r="P25" s="202">
        <f t="shared" ref="P25" si="16">O25/J25</f>
        <v>0.96326051542532198</v>
      </c>
      <c r="Q25" s="201">
        <v>81000</v>
      </c>
      <c r="R25" s="200">
        <f t="shared" si="4"/>
        <v>0.81958090072952816</v>
      </c>
      <c r="S25" s="201">
        <v>76800</v>
      </c>
      <c r="T25" s="200">
        <f t="shared" si="14"/>
        <v>0.77708411328429339</v>
      </c>
      <c r="U25" s="205">
        <f t="shared" ref="U25:U27" si="17">B25+17</f>
        <v>46168</v>
      </c>
      <c r="V25" s="244"/>
      <c r="W25" s="245"/>
      <c r="X25" s="245"/>
      <c r="Y25" s="230"/>
      <c r="Z25" s="246"/>
    </row>
    <row r="26" spans="1:27" s="209" customFormat="1" ht="46.5" customHeight="1" x14ac:dyDescent="0.4">
      <c r="A26" s="193">
        <v>46149</v>
      </c>
      <c r="B26" s="240">
        <f t="shared" ref="B26" si="18">A26+2</f>
        <v>46151</v>
      </c>
      <c r="C26" s="194"/>
      <c r="D26" s="194"/>
      <c r="E26" s="195">
        <v>8</v>
      </c>
      <c r="F26" s="241"/>
      <c r="G26" s="194"/>
      <c r="H26" s="196">
        <v>23</v>
      </c>
      <c r="I26" s="196">
        <v>23</v>
      </c>
      <c r="J26" s="198">
        <v>100666</v>
      </c>
      <c r="K26" s="242">
        <v>104000</v>
      </c>
      <c r="L26" s="200">
        <f t="shared" ref="L26" si="19">K26/J26</f>
        <v>1.0331194246319513</v>
      </c>
      <c r="M26" s="243">
        <v>100100</v>
      </c>
      <c r="N26" s="200">
        <f t="shared" ref="N26" si="20">M26/J26</f>
        <v>0.99437744620825308</v>
      </c>
      <c r="O26" s="201">
        <v>94500</v>
      </c>
      <c r="P26" s="202">
        <f t="shared" ref="P26" si="21">O26/J26</f>
        <v>0.93874793872807105</v>
      </c>
      <c r="Q26" s="201">
        <v>86000</v>
      </c>
      <c r="R26" s="200">
        <f t="shared" ref="R26" si="22">Q26/J26</f>
        <v>0.8543102934456519</v>
      </c>
      <c r="S26" s="201">
        <v>82600</v>
      </c>
      <c r="T26" s="200">
        <f t="shared" ref="T26" si="23">S26/J26</f>
        <v>0.82053523533268435</v>
      </c>
      <c r="U26" s="205">
        <f t="shared" si="17"/>
        <v>46168</v>
      </c>
      <c r="V26" s="244"/>
      <c r="W26" s="245"/>
      <c r="X26" s="245"/>
      <c r="Y26" s="230"/>
      <c r="Z26" s="246"/>
    </row>
    <row r="27" spans="1:27" ht="46.5" customHeight="1" x14ac:dyDescent="0.4">
      <c r="A27" s="67">
        <v>46149</v>
      </c>
      <c r="B27" s="79">
        <f t="shared" si="15"/>
        <v>46151</v>
      </c>
      <c r="C27" s="68"/>
      <c r="D27" s="68"/>
      <c r="E27" s="69">
        <v>8</v>
      </c>
      <c r="F27" s="76"/>
      <c r="G27" s="68"/>
      <c r="H27" s="70">
        <v>24</v>
      </c>
      <c r="I27" s="70">
        <v>24</v>
      </c>
      <c r="J27" s="108">
        <v>102833</v>
      </c>
      <c r="K27" s="100">
        <v>102700</v>
      </c>
      <c r="L27" s="71">
        <f t="shared" ref="L27" si="24">K27/J27</f>
        <v>0.99870664086431393</v>
      </c>
      <c r="M27" s="99">
        <v>98700</v>
      </c>
      <c r="N27" s="71">
        <f t="shared" ref="N27" si="25">M27/J27</f>
        <v>0.95980862174593762</v>
      </c>
      <c r="O27" s="97">
        <v>95900</v>
      </c>
      <c r="P27" s="72">
        <f t="shared" ref="P27" si="26">O27/J27</f>
        <v>0.93258000836307409</v>
      </c>
      <c r="Q27" s="97">
        <v>86500</v>
      </c>
      <c r="R27" s="71">
        <f t="shared" ref="R27" si="27">Q27/J27</f>
        <v>0.84116966343488953</v>
      </c>
      <c r="S27" s="97">
        <v>79700</v>
      </c>
      <c r="T27" s="71">
        <f t="shared" ref="T27" si="28">S27/J27</f>
        <v>0.77504303093364968</v>
      </c>
      <c r="U27" s="73">
        <f t="shared" si="17"/>
        <v>46168</v>
      </c>
      <c r="V27" s="101">
        <v>9.93</v>
      </c>
      <c r="W27" s="135">
        <v>42</v>
      </c>
      <c r="X27" s="135">
        <v>4500</v>
      </c>
      <c r="Y27" s="231"/>
      <c r="Z27" s="74"/>
    </row>
    <row r="28" spans="1:27" ht="46.5" customHeight="1" x14ac:dyDescent="0.4">
      <c r="A28" s="80"/>
      <c r="B28" s="81"/>
      <c r="C28" s="82"/>
      <c r="D28" s="82"/>
      <c r="E28" s="83"/>
      <c r="F28" s="84"/>
      <c r="G28" s="82"/>
      <c r="H28" s="85"/>
      <c r="I28" s="85"/>
      <c r="J28" s="86"/>
      <c r="K28" s="87"/>
      <c r="L28" s="88">
        <f>AVERAGE(L4:L27)</f>
        <v>0.93010441757319029</v>
      </c>
      <c r="M28" s="89"/>
      <c r="N28" s="88">
        <f>AVERAGE(N4:N27)</f>
        <v>0.88280799084064265</v>
      </c>
      <c r="O28" s="89"/>
      <c r="P28" s="88">
        <f>AVERAGE(P4:P27)</f>
        <v>0.86837826293524012</v>
      </c>
      <c r="Q28" s="6"/>
      <c r="R28" s="88">
        <f>AVERAGE(R4,R6:R27)</f>
        <v>0.80403015177661341</v>
      </c>
      <c r="S28" s="25"/>
      <c r="T28" s="88">
        <f>AVERAGE(T4,T6:T8,T11:T24,T27)</f>
        <v>0.82322051712297561</v>
      </c>
      <c r="U28" s="90"/>
      <c r="V28" s="78"/>
      <c r="W28" s="91"/>
      <c r="X28" s="92"/>
      <c r="Y28" s="78"/>
      <c r="Z28" s="74"/>
    </row>
    <row r="33" spans="17:17" x14ac:dyDescent="0.35">
      <c r="Q33" s="7" t="s">
        <v>61</v>
      </c>
    </row>
  </sheetData>
  <mergeCells count="2">
    <mergeCell ref="A1:W1"/>
    <mergeCell ref="Y24:Y27"/>
  </mergeCells>
  <pageMargins left="0.21" right="0.70866141732283472" top="0.35" bottom="0.15" header="0.31496062992125984" footer="0.31496062992125984"/>
  <pageSetup paperSize="9" scale="30" orientation="landscape" horizontalDpi="360" verticalDpi="3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C480"/>
  <sheetViews>
    <sheetView tabSelected="1" topLeftCell="A454" zoomScale="70" zoomScaleNormal="70" workbookViewId="0">
      <selection activeCell="H479" sqref="H479"/>
    </sheetView>
  </sheetViews>
  <sheetFormatPr defaultRowHeight="15" x14ac:dyDescent="0.25"/>
  <cols>
    <col min="1" max="1" width="9.5703125" bestFit="1" customWidth="1"/>
    <col min="2" max="2" width="10" bestFit="1" customWidth="1"/>
    <col min="8" max="8" width="9.28515625" bestFit="1" customWidth="1"/>
  </cols>
  <sheetData>
    <row r="1" spans="1:29" x14ac:dyDescent="0.25">
      <c r="A1" s="232">
        <v>1</v>
      </c>
      <c r="B1" s="235" t="s">
        <v>0</v>
      </c>
      <c r="C1" s="235" t="s">
        <v>65</v>
      </c>
      <c r="D1" s="237" t="s">
        <v>1</v>
      </c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9"/>
      <c r="P1" s="12" t="s">
        <v>2</v>
      </c>
    </row>
    <row r="2" spans="1:29" x14ac:dyDescent="0.25">
      <c r="A2" s="233"/>
      <c r="B2" s="236"/>
      <c r="C2" s="236"/>
      <c r="D2" s="13">
        <v>0.375</v>
      </c>
      <c r="E2" s="13">
        <v>0.45833333333333331</v>
      </c>
      <c r="F2" s="13">
        <v>0.54166666666666696</v>
      </c>
      <c r="G2" s="13">
        <v>0.625</v>
      </c>
      <c r="H2" s="13">
        <v>0.70833333333333304</v>
      </c>
      <c r="I2" s="13">
        <v>0.79166666666666696</v>
      </c>
      <c r="J2" s="13">
        <v>0.875</v>
      </c>
      <c r="K2" s="13">
        <v>0.95833333333333304</v>
      </c>
      <c r="L2" s="13">
        <v>1.0416666666666701</v>
      </c>
      <c r="M2" s="13">
        <v>1.125</v>
      </c>
      <c r="N2" s="13">
        <v>1.2083333333333299</v>
      </c>
      <c r="O2" s="13">
        <v>1.2916666666666601</v>
      </c>
      <c r="P2" s="12"/>
    </row>
    <row r="3" spans="1:29" x14ac:dyDescent="0.25">
      <c r="A3" s="233"/>
      <c r="B3" s="14">
        <v>46149</v>
      </c>
      <c r="C3" s="12" t="s">
        <v>3</v>
      </c>
      <c r="D3" s="15"/>
      <c r="E3" s="15"/>
      <c r="F3" s="15"/>
      <c r="G3" s="15"/>
      <c r="H3" s="15"/>
      <c r="I3" s="15">
        <v>32.9</v>
      </c>
      <c r="J3" s="15"/>
      <c r="K3" s="15">
        <v>32.6</v>
      </c>
      <c r="L3" s="15"/>
      <c r="M3" s="15">
        <v>32.700000000000003</v>
      </c>
      <c r="N3" s="15"/>
      <c r="O3" s="15">
        <v>32.6</v>
      </c>
      <c r="P3" s="16"/>
    </row>
    <row r="4" spans="1:29" x14ac:dyDescent="0.25">
      <c r="A4" s="233"/>
      <c r="B4" s="14">
        <v>46150</v>
      </c>
      <c r="C4" s="12" t="s">
        <v>4</v>
      </c>
      <c r="D4" s="15"/>
      <c r="E4" s="15">
        <v>33.700000000000003</v>
      </c>
      <c r="F4" s="15"/>
      <c r="G4" s="15">
        <v>33.700000000000003</v>
      </c>
      <c r="H4" s="15"/>
      <c r="I4" s="15">
        <v>33.9</v>
      </c>
      <c r="J4" s="15"/>
      <c r="K4" s="15">
        <v>34</v>
      </c>
      <c r="L4" s="15"/>
      <c r="M4" s="15">
        <v>33.9</v>
      </c>
      <c r="N4" s="15"/>
      <c r="O4" s="15">
        <v>34</v>
      </c>
      <c r="P4" s="12"/>
    </row>
    <row r="5" spans="1:29" x14ac:dyDescent="0.25">
      <c r="A5" s="233"/>
      <c r="B5" s="14">
        <v>46151</v>
      </c>
      <c r="C5" s="12" t="s">
        <v>5</v>
      </c>
      <c r="D5" s="15">
        <v>33.799999999999997</v>
      </c>
      <c r="E5" s="15">
        <v>33.700000000000003</v>
      </c>
      <c r="F5" s="15">
        <v>33.700000000000003</v>
      </c>
      <c r="G5" s="15">
        <v>33.700000000000003</v>
      </c>
      <c r="H5" s="15">
        <v>33.799999999999997</v>
      </c>
      <c r="I5" s="15">
        <v>33.9</v>
      </c>
      <c r="J5" s="15">
        <v>33.5</v>
      </c>
      <c r="K5" s="15">
        <v>33.5</v>
      </c>
      <c r="L5" s="15">
        <v>33.6</v>
      </c>
      <c r="M5" s="15">
        <v>33.9</v>
      </c>
      <c r="N5" s="15">
        <v>33.6</v>
      </c>
      <c r="O5" s="15">
        <v>33.9</v>
      </c>
      <c r="P5" s="12"/>
    </row>
    <row r="6" spans="1:29" x14ac:dyDescent="0.25">
      <c r="A6" s="233"/>
      <c r="B6" s="14">
        <v>46152</v>
      </c>
      <c r="C6" s="12" t="s">
        <v>6</v>
      </c>
      <c r="D6" s="15">
        <v>33.5</v>
      </c>
      <c r="E6" s="15">
        <v>34</v>
      </c>
      <c r="F6" s="15">
        <v>34</v>
      </c>
      <c r="G6" s="15">
        <v>34</v>
      </c>
      <c r="H6" s="15">
        <v>34</v>
      </c>
      <c r="I6" s="15">
        <v>33.6</v>
      </c>
      <c r="J6" s="15">
        <v>34</v>
      </c>
      <c r="K6" s="15">
        <v>33.6</v>
      </c>
      <c r="L6" s="15">
        <v>34</v>
      </c>
      <c r="M6" s="15">
        <v>33.9</v>
      </c>
      <c r="N6" s="15">
        <v>33.6</v>
      </c>
      <c r="O6" s="15">
        <v>33.9</v>
      </c>
      <c r="P6" s="12"/>
    </row>
    <row r="7" spans="1:29" x14ac:dyDescent="0.25">
      <c r="A7" s="233"/>
      <c r="B7" s="14">
        <v>46153</v>
      </c>
      <c r="C7" s="12" t="s">
        <v>7</v>
      </c>
      <c r="D7" s="15">
        <v>33.9</v>
      </c>
      <c r="E7" s="15">
        <v>33.6</v>
      </c>
      <c r="F7" s="15">
        <v>33.5</v>
      </c>
      <c r="G7" s="15">
        <v>33.5</v>
      </c>
      <c r="H7" s="15">
        <v>33.4</v>
      </c>
      <c r="I7" s="15">
        <v>32.700000000000003</v>
      </c>
      <c r="J7" s="15">
        <v>32.6</v>
      </c>
      <c r="K7" s="15">
        <v>32.9</v>
      </c>
      <c r="L7" s="15">
        <v>33</v>
      </c>
      <c r="M7" s="15">
        <v>32.700000000000003</v>
      </c>
      <c r="N7" s="15">
        <v>32.9</v>
      </c>
      <c r="O7" s="15">
        <v>32.700000000000003</v>
      </c>
      <c r="P7" s="12"/>
    </row>
    <row r="8" spans="1:29" x14ac:dyDescent="0.25">
      <c r="A8" s="233"/>
      <c r="B8" s="14">
        <v>46154</v>
      </c>
      <c r="C8" s="12" t="s">
        <v>8</v>
      </c>
      <c r="D8" s="15">
        <v>32.700000000000003</v>
      </c>
      <c r="E8" s="15">
        <v>32.9</v>
      </c>
      <c r="F8" s="15">
        <v>32.9</v>
      </c>
      <c r="G8" s="15">
        <v>32.9</v>
      </c>
      <c r="H8" s="15">
        <v>32.9</v>
      </c>
      <c r="I8" s="15">
        <v>32.700000000000003</v>
      </c>
      <c r="J8" s="15">
        <v>32.9</v>
      </c>
      <c r="K8" s="15">
        <v>32.9</v>
      </c>
      <c r="L8" s="15">
        <v>33</v>
      </c>
      <c r="M8" s="15">
        <v>32.9</v>
      </c>
      <c r="N8" s="15">
        <v>32.6</v>
      </c>
      <c r="O8" s="15">
        <v>32.9</v>
      </c>
      <c r="P8" s="12"/>
    </row>
    <row r="9" spans="1:29" x14ac:dyDescent="0.25">
      <c r="A9" s="233"/>
      <c r="B9" s="14">
        <v>46155</v>
      </c>
      <c r="C9" s="12" t="s">
        <v>9</v>
      </c>
      <c r="D9" s="15">
        <v>32.9</v>
      </c>
      <c r="E9" s="15">
        <v>32.9</v>
      </c>
      <c r="F9" s="15">
        <v>32.9</v>
      </c>
      <c r="G9" s="15">
        <v>32.700000000000003</v>
      </c>
      <c r="H9" s="15">
        <v>32.4</v>
      </c>
      <c r="I9" s="15">
        <v>32.200000000000003</v>
      </c>
      <c r="J9" s="15">
        <v>31.8</v>
      </c>
      <c r="K9" s="15">
        <v>31.6</v>
      </c>
      <c r="L9" s="15">
        <v>31.6</v>
      </c>
      <c r="M9" s="15">
        <v>32</v>
      </c>
      <c r="N9" s="15">
        <v>31.7</v>
      </c>
      <c r="O9" s="15">
        <v>31.9</v>
      </c>
      <c r="P9" s="12"/>
    </row>
    <row r="10" spans="1:29" x14ac:dyDescent="0.25">
      <c r="A10" s="233"/>
      <c r="B10" s="14">
        <v>46156</v>
      </c>
      <c r="C10" s="12" t="s">
        <v>10</v>
      </c>
      <c r="D10" s="15">
        <v>31.6</v>
      </c>
      <c r="E10" s="15">
        <v>32</v>
      </c>
      <c r="F10" s="15">
        <v>32.1</v>
      </c>
      <c r="G10" s="15">
        <v>32.1</v>
      </c>
      <c r="H10" s="15">
        <v>32.299999999999997</v>
      </c>
      <c r="I10" s="15">
        <v>32</v>
      </c>
      <c r="J10" s="15">
        <v>31.8</v>
      </c>
      <c r="K10" s="15">
        <v>31.8</v>
      </c>
      <c r="L10" s="15">
        <v>31.8</v>
      </c>
      <c r="M10" s="15">
        <v>32</v>
      </c>
      <c r="N10" s="15">
        <v>31.7</v>
      </c>
      <c r="O10" s="15">
        <v>32</v>
      </c>
      <c r="P10" s="12"/>
    </row>
    <row r="11" spans="1:29" x14ac:dyDescent="0.25">
      <c r="A11" s="233"/>
      <c r="B11" s="14">
        <v>46157</v>
      </c>
      <c r="C11" s="12" t="s">
        <v>11</v>
      </c>
      <c r="D11" s="15">
        <v>31.7</v>
      </c>
      <c r="E11" s="15">
        <v>32</v>
      </c>
      <c r="F11" s="15">
        <v>32.1</v>
      </c>
      <c r="G11" s="15">
        <v>32.1</v>
      </c>
      <c r="H11" s="15">
        <v>31.8</v>
      </c>
      <c r="I11" s="15">
        <v>31.4</v>
      </c>
      <c r="J11" s="15">
        <v>31.1</v>
      </c>
      <c r="K11" s="15">
        <v>30.9</v>
      </c>
      <c r="L11" s="15">
        <v>30.5</v>
      </c>
      <c r="M11" s="15">
        <v>30.7</v>
      </c>
      <c r="N11" s="15">
        <v>30.7</v>
      </c>
      <c r="O11" s="15">
        <v>30.8</v>
      </c>
      <c r="P11" s="12"/>
    </row>
    <row r="12" spans="1:29" x14ac:dyDescent="0.25">
      <c r="A12" s="233"/>
      <c r="B12" s="14">
        <v>46158</v>
      </c>
      <c r="C12" s="12" t="s">
        <v>12</v>
      </c>
      <c r="D12" s="15">
        <v>30.7</v>
      </c>
      <c r="E12" s="15">
        <v>31</v>
      </c>
      <c r="F12" s="15">
        <v>30.9</v>
      </c>
      <c r="G12" s="15">
        <v>30.7</v>
      </c>
      <c r="H12" s="15">
        <v>30.6</v>
      </c>
      <c r="I12" s="15">
        <v>31</v>
      </c>
      <c r="J12" s="15">
        <v>30.8</v>
      </c>
      <c r="K12" s="15">
        <v>30.8</v>
      </c>
      <c r="L12" s="15">
        <v>30.7</v>
      </c>
      <c r="M12" s="15">
        <v>30.6</v>
      </c>
      <c r="N12" s="15">
        <v>30.7</v>
      </c>
      <c r="O12" s="15">
        <v>30.6</v>
      </c>
      <c r="P12" s="12"/>
    </row>
    <row r="13" spans="1:29" x14ac:dyDescent="0.25">
      <c r="A13" s="233"/>
      <c r="B13" s="14">
        <v>46159</v>
      </c>
      <c r="C13" s="12" t="s">
        <v>13</v>
      </c>
      <c r="D13" s="15">
        <v>30.7</v>
      </c>
      <c r="E13" s="15">
        <v>30.6</v>
      </c>
      <c r="F13" s="15">
        <v>30.8</v>
      </c>
      <c r="G13" s="15">
        <v>30.8</v>
      </c>
      <c r="H13" s="15">
        <v>31.1</v>
      </c>
      <c r="I13" s="15">
        <v>31.3</v>
      </c>
      <c r="J13" s="15">
        <v>31</v>
      </c>
      <c r="K13" s="15">
        <v>30.6</v>
      </c>
      <c r="L13" s="15">
        <v>30</v>
      </c>
      <c r="M13" s="15">
        <v>30.1</v>
      </c>
      <c r="N13" s="15">
        <v>30</v>
      </c>
      <c r="O13" s="15">
        <v>30.7</v>
      </c>
      <c r="P13" s="12"/>
      <c r="AC13" t="s">
        <v>81</v>
      </c>
    </row>
    <row r="14" spans="1:29" x14ac:dyDescent="0.25">
      <c r="A14" s="233"/>
      <c r="B14" s="14">
        <v>46160</v>
      </c>
      <c r="C14" s="12" t="s">
        <v>14</v>
      </c>
      <c r="D14" s="15">
        <v>30.3</v>
      </c>
      <c r="E14" s="15">
        <v>31.2</v>
      </c>
      <c r="F14" s="15">
        <v>31.4</v>
      </c>
      <c r="G14" s="15">
        <v>31.4</v>
      </c>
      <c r="H14" s="15">
        <v>31.4</v>
      </c>
      <c r="I14" s="15">
        <v>31</v>
      </c>
      <c r="J14" s="15">
        <v>30.8</v>
      </c>
      <c r="K14" s="15">
        <v>30.8</v>
      </c>
      <c r="L14" s="15">
        <v>30.8</v>
      </c>
      <c r="M14" s="15">
        <v>30.8</v>
      </c>
      <c r="N14" s="15">
        <v>30.6</v>
      </c>
      <c r="O14" s="15">
        <v>30.9</v>
      </c>
      <c r="P14" s="12"/>
    </row>
    <row r="15" spans="1:29" x14ac:dyDescent="0.25">
      <c r="A15" s="233"/>
      <c r="B15" s="14">
        <v>46161</v>
      </c>
      <c r="C15" s="12" t="s">
        <v>15</v>
      </c>
      <c r="D15" s="15">
        <v>30.7</v>
      </c>
      <c r="E15" s="15">
        <v>31</v>
      </c>
      <c r="F15" s="15">
        <v>31.2</v>
      </c>
      <c r="G15" s="15">
        <v>31.2</v>
      </c>
      <c r="H15" s="15">
        <v>31.1</v>
      </c>
      <c r="I15" s="15">
        <v>30.7</v>
      </c>
      <c r="J15" s="15">
        <v>31</v>
      </c>
      <c r="K15" s="15">
        <v>30.7</v>
      </c>
      <c r="L15" s="15">
        <v>30.9</v>
      </c>
      <c r="M15" s="15">
        <v>30.6</v>
      </c>
      <c r="N15" s="15">
        <v>30.6</v>
      </c>
      <c r="O15" s="15">
        <v>31</v>
      </c>
      <c r="P15" s="12"/>
    </row>
    <row r="16" spans="1:29" x14ac:dyDescent="0.25">
      <c r="A16" s="233"/>
      <c r="B16" s="14">
        <v>46162</v>
      </c>
      <c r="C16" s="12" t="s">
        <v>16</v>
      </c>
      <c r="D16" s="15">
        <v>30.6</v>
      </c>
      <c r="E16" s="15">
        <v>30.4</v>
      </c>
      <c r="F16" s="15">
        <v>30.3</v>
      </c>
      <c r="G16" s="15">
        <v>30.3</v>
      </c>
      <c r="H16" s="15">
        <v>30.3</v>
      </c>
      <c r="I16" s="15">
        <v>30.1</v>
      </c>
      <c r="J16" s="15">
        <v>29.8</v>
      </c>
      <c r="K16" s="15">
        <v>29.6</v>
      </c>
      <c r="L16" s="15">
        <v>29.7</v>
      </c>
      <c r="M16" s="15">
        <v>29.9</v>
      </c>
      <c r="N16" s="15">
        <v>29.8</v>
      </c>
      <c r="O16" s="15">
        <v>29.8</v>
      </c>
      <c r="P16" s="16"/>
    </row>
    <row r="17" spans="1:16" x14ac:dyDescent="0.25">
      <c r="A17" s="233"/>
      <c r="B17" s="14">
        <v>46163</v>
      </c>
      <c r="C17" s="12" t="s">
        <v>17</v>
      </c>
      <c r="D17" s="15">
        <v>30</v>
      </c>
      <c r="E17" s="15">
        <v>29.9</v>
      </c>
      <c r="F17" s="15">
        <v>29.9</v>
      </c>
      <c r="G17" s="15">
        <v>29.9</v>
      </c>
      <c r="H17" s="15">
        <v>29.9</v>
      </c>
      <c r="I17" s="15">
        <v>29.7</v>
      </c>
      <c r="J17" s="15">
        <v>30</v>
      </c>
      <c r="K17" s="15">
        <v>29.8</v>
      </c>
      <c r="L17" s="15">
        <v>29.7</v>
      </c>
      <c r="M17" s="15">
        <v>29.8</v>
      </c>
      <c r="N17" s="15">
        <v>30</v>
      </c>
      <c r="O17" s="15">
        <v>29.7</v>
      </c>
      <c r="P17" s="16"/>
    </row>
    <row r="18" spans="1:16" x14ac:dyDescent="0.25">
      <c r="A18" s="233"/>
      <c r="B18" s="14">
        <v>46164</v>
      </c>
      <c r="C18" s="17" t="s">
        <v>18</v>
      </c>
      <c r="D18" s="15">
        <v>30</v>
      </c>
      <c r="E18" s="15">
        <v>30</v>
      </c>
      <c r="F18" s="15">
        <v>30.1</v>
      </c>
      <c r="G18" s="15">
        <v>30.4</v>
      </c>
      <c r="H18" s="15">
        <v>30.4</v>
      </c>
      <c r="I18" s="15">
        <v>30</v>
      </c>
      <c r="J18" s="15">
        <v>29.7</v>
      </c>
      <c r="K18" s="15">
        <v>30</v>
      </c>
      <c r="L18" s="15">
        <v>29.7</v>
      </c>
      <c r="M18" s="15">
        <v>30</v>
      </c>
      <c r="N18" s="15">
        <v>29.6</v>
      </c>
      <c r="O18" s="15">
        <v>29.6</v>
      </c>
      <c r="P18" s="16"/>
    </row>
    <row r="19" spans="1:16" x14ac:dyDescent="0.25">
      <c r="A19" s="233"/>
      <c r="B19" s="14">
        <v>46165</v>
      </c>
      <c r="C19" s="17" t="s">
        <v>19</v>
      </c>
      <c r="D19" s="15">
        <v>30</v>
      </c>
      <c r="E19" s="15">
        <v>30</v>
      </c>
      <c r="F19" s="15">
        <v>30.3</v>
      </c>
      <c r="G19" s="15">
        <v>30.3</v>
      </c>
      <c r="H19" s="15">
        <v>30.2</v>
      </c>
      <c r="I19" s="15"/>
      <c r="J19" s="15"/>
      <c r="K19" s="15"/>
      <c r="L19" s="15"/>
      <c r="M19" s="15"/>
      <c r="N19" s="15"/>
      <c r="O19" s="15"/>
      <c r="P19" s="16"/>
    </row>
    <row r="20" spans="1:16" x14ac:dyDescent="0.25">
      <c r="A20" s="234"/>
      <c r="B20" s="14">
        <v>46166</v>
      </c>
      <c r="C20" s="17" t="s">
        <v>20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6"/>
    </row>
    <row r="21" spans="1:16" ht="15" customHeight="1" x14ac:dyDescent="0.25">
      <c r="A21" s="232">
        <v>2</v>
      </c>
      <c r="B21" s="235" t="s">
        <v>0</v>
      </c>
      <c r="C21" s="235" t="s">
        <v>65</v>
      </c>
      <c r="D21" s="237" t="s">
        <v>1</v>
      </c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9"/>
      <c r="P21" s="12" t="s">
        <v>2</v>
      </c>
    </row>
    <row r="22" spans="1:16" ht="15" customHeight="1" x14ac:dyDescent="0.25">
      <c r="A22" s="233"/>
      <c r="B22" s="236"/>
      <c r="C22" s="236"/>
      <c r="D22" s="13">
        <v>0.375</v>
      </c>
      <c r="E22" s="13">
        <v>0.45833333333333331</v>
      </c>
      <c r="F22" s="13">
        <v>0.54166666666666696</v>
      </c>
      <c r="G22" s="13">
        <v>0.625</v>
      </c>
      <c r="H22" s="13">
        <v>0.70833333333333304</v>
      </c>
      <c r="I22" s="13">
        <v>0.79166666666666696</v>
      </c>
      <c r="J22" s="13">
        <v>0.875</v>
      </c>
      <c r="K22" s="13">
        <v>0.95833333333333304</v>
      </c>
      <c r="L22" s="13">
        <v>1.0416666666666701</v>
      </c>
      <c r="M22" s="13">
        <v>1.125</v>
      </c>
      <c r="N22" s="13">
        <v>1.2083333333333299</v>
      </c>
      <c r="O22" s="13">
        <v>1.2916666666666601</v>
      </c>
      <c r="P22" s="12"/>
    </row>
    <row r="23" spans="1:16" ht="15" customHeight="1" x14ac:dyDescent="0.25">
      <c r="A23" s="233"/>
      <c r="B23" s="14">
        <v>46149</v>
      </c>
      <c r="C23" s="12" t="s">
        <v>3</v>
      </c>
      <c r="D23" s="15"/>
      <c r="E23" s="15"/>
      <c r="F23" s="15"/>
      <c r="G23" s="15"/>
      <c r="H23" s="15"/>
      <c r="I23" s="15">
        <v>32.799999999999997</v>
      </c>
      <c r="J23" s="15"/>
      <c r="K23" s="15">
        <v>32.6</v>
      </c>
      <c r="L23" s="15"/>
      <c r="M23" s="15">
        <v>32.4</v>
      </c>
      <c r="N23" s="15"/>
      <c r="O23" s="15">
        <v>32.4</v>
      </c>
      <c r="P23" s="16"/>
    </row>
    <row r="24" spans="1:16" ht="15" customHeight="1" x14ac:dyDescent="0.25">
      <c r="A24" s="233"/>
      <c r="B24" s="14">
        <v>46150</v>
      </c>
      <c r="C24" s="12" t="s">
        <v>4</v>
      </c>
      <c r="D24" s="15"/>
      <c r="E24" s="15">
        <v>33.700000000000003</v>
      </c>
      <c r="F24" s="15"/>
      <c r="G24" s="15">
        <v>33.6</v>
      </c>
      <c r="H24" s="15"/>
      <c r="I24" s="15">
        <v>33.9</v>
      </c>
      <c r="J24" s="15"/>
      <c r="K24" s="15">
        <v>34</v>
      </c>
      <c r="L24" s="15"/>
      <c r="M24" s="15">
        <v>33.799999999999997</v>
      </c>
      <c r="N24" s="15"/>
      <c r="O24" s="15">
        <v>33.6</v>
      </c>
      <c r="P24" s="12"/>
    </row>
    <row r="25" spans="1:16" ht="15" customHeight="1" x14ac:dyDescent="0.25">
      <c r="A25" s="233"/>
      <c r="B25" s="14">
        <v>46151</v>
      </c>
      <c r="C25" s="12" t="s">
        <v>5</v>
      </c>
      <c r="D25" s="15">
        <v>33.9</v>
      </c>
      <c r="E25" s="15">
        <v>33.799999999999997</v>
      </c>
      <c r="F25" s="15">
        <v>33.799999999999997</v>
      </c>
      <c r="G25" s="15">
        <v>33.799999999999997</v>
      </c>
      <c r="H25" s="15">
        <v>34</v>
      </c>
      <c r="I25" s="15">
        <v>33.9</v>
      </c>
      <c r="J25" s="15">
        <v>33.6</v>
      </c>
      <c r="K25" s="15">
        <v>34</v>
      </c>
      <c r="L25" s="15">
        <v>33.6</v>
      </c>
      <c r="M25" s="15">
        <v>33.6</v>
      </c>
      <c r="N25" s="15">
        <v>33.799999999999997</v>
      </c>
      <c r="O25" s="15">
        <v>34</v>
      </c>
      <c r="P25" s="12"/>
    </row>
    <row r="26" spans="1:16" ht="15" customHeight="1" x14ac:dyDescent="0.25">
      <c r="A26" s="233"/>
      <c r="B26" s="14">
        <v>46152</v>
      </c>
      <c r="C26" s="12" t="s">
        <v>6</v>
      </c>
      <c r="D26" s="15">
        <v>33.6</v>
      </c>
      <c r="E26" s="15">
        <v>34</v>
      </c>
      <c r="F26" s="15">
        <v>34</v>
      </c>
      <c r="G26" s="15">
        <v>34</v>
      </c>
      <c r="H26" s="15">
        <v>34</v>
      </c>
      <c r="I26" s="15">
        <v>33.700000000000003</v>
      </c>
      <c r="J26" s="15">
        <v>34</v>
      </c>
      <c r="K26" s="15">
        <v>33.6</v>
      </c>
      <c r="L26" s="15">
        <v>34</v>
      </c>
      <c r="M26" s="15">
        <v>33.700000000000003</v>
      </c>
      <c r="N26" s="15">
        <v>33.700000000000003</v>
      </c>
      <c r="O26" s="15">
        <v>34.1</v>
      </c>
      <c r="P26" s="12"/>
    </row>
    <row r="27" spans="1:16" ht="15" customHeight="1" x14ac:dyDescent="0.25">
      <c r="A27" s="233"/>
      <c r="B27" s="14">
        <v>46153</v>
      </c>
      <c r="C27" s="12" t="s">
        <v>7</v>
      </c>
      <c r="D27" s="15">
        <v>33.700000000000003</v>
      </c>
      <c r="E27" s="15">
        <v>34</v>
      </c>
      <c r="F27" s="15">
        <v>34</v>
      </c>
      <c r="G27" s="15">
        <v>34</v>
      </c>
      <c r="H27" s="15">
        <v>33.799999999999997</v>
      </c>
      <c r="I27" s="15">
        <v>33.200000000000003</v>
      </c>
      <c r="J27" s="15">
        <v>33.1</v>
      </c>
      <c r="K27" s="15">
        <v>32.799999999999997</v>
      </c>
      <c r="L27" s="15">
        <v>32.9</v>
      </c>
      <c r="M27" s="15">
        <v>32.6</v>
      </c>
      <c r="N27" s="15">
        <v>32.799999999999997</v>
      </c>
      <c r="O27" s="15">
        <v>32.5</v>
      </c>
      <c r="P27" s="12"/>
    </row>
    <row r="28" spans="1:16" ht="15" customHeight="1" x14ac:dyDescent="0.25">
      <c r="A28" s="233"/>
      <c r="B28" s="14">
        <v>46154</v>
      </c>
      <c r="C28" s="12" t="s">
        <v>8</v>
      </c>
      <c r="D28" s="15">
        <v>33</v>
      </c>
      <c r="E28" s="15">
        <v>33.4</v>
      </c>
      <c r="F28" s="15">
        <v>33.4</v>
      </c>
      <c r="G28" s="15">
        <v>33.5</v>
      </c>
      <c r="H28" s="15">
        <v>32.9</v>
      </c>
      <c r="I28" s="15">
        <v>33</v>
      </c>
      <c r="J28" s="15">
        <v>32.5</v>
      </c>
      <c r="K28" s="15">
        <v>33</v>
      </c>
      <c r="L28" s="15">
        <v>32.799999999999997</v>
      </c>
      <c r="M28" s="15">
        <v>32.799999999999997</v>
      </c>
      <c r="N28" s="15">
        <v>32.6</v>
      </c>
      <c r="O28" s="15">
        <v>33</v>
      </c>
      <c r="P28" s="12"/>
    </row>
    <row r="29" spans="1:16" ht="15" customHeight="1" x14ac:dyDescent="0.25">
      <c r="A29" s="233"/>
      <c r="B29" s="14">
        <v>46155</v>
      </c>
      <c r="C29" s="12" t="s">
        <v>9</v>
      </c>
      <c r="D29" s="15">
        <v>33</v>
      </c>
      <c r="E29" s="15">
        <v>33</v>
      </c>
      <c r="F29" s="15">
        <v>33</v>
      </c>
      <c r="G29" s="15">
        <v>33</v>
      </c>
      <c r="H29" s="15">
        <v>32.6</v>
      </c>
      <c r="I29" s="15">
        <v>32.6</v>
      </c>
      <c r="J29" s="15">
        <v>32.6</v>
      </c>
      <c r="K29" s="15">
        <v>32</v>
      </c>
      <c r="L29" s="15">
        <v>31.7</v>
      </c>
      <c r="M29" s="15">
        <v>31.6</v>
      </c>
      <c r="N29" s="15">
        <v>32</v>
      </c>
      <c r="O29" s="15">
        <v>31.6</v>
      </c>
      <c r="P29" s="12"/>
    </row>
    <row r="30" spans="1:16" ht="15" customHeight="1" x14ac:dyDescent="0.25">
      <c r="A30" s="233"/>
      <c r="B30" s="14">
        <v>46156</v>
      </c>
      <c r="C30" s="12" t="s">
        <v>10</v>
      </c>
      <c r="D30" s="15">
        <v>31.8</v>
      </c>
      <c r="E30" s="15">
        <v>32.200000000000003</v>
      </c>
      <c r="F30" s="15">
        <v>32.299999999999997</v>
      </c>
      <c r="G30" s="15">
        <v>32.4</v>
      </c>
      <c r="H30" s="15">
        <v>32.700000000000003</v>
      </c>
      <c r="I30" s="15">
        <v>32.4</v>
      </c>
      <c r="J30" s="15">
        <v>32.1</v>
      </c>
      <c r="K30" s="15">
        <v>31.5</v>
      </c>
      <c r="L30" s="15">
        <v>31.6</v>
      </c>
      <c r="M30" s="15">
        <v>31.9</v>
      </c>
      <c r="N30" s="15">
        <v>31.8</v>
      </c>
      <c r="O30" s="15">
        <v>31.4</v>
      </c>
      <c r="P30" s="12"/>
    </row>
    <row r="31" spans="1:16" ht="15" customHeight="1" x14ac:dyDescent="0.25">
      <c r="A31" s="233"/>
      <c r="B31" s="14">
        <v>46157</v>
      </c>
      <c r="C31" s="12" t="s">
        <v>11</v>
      </c>
      <c r="D31" s="15">
        <v>32</v>
      </c>
      <c r="E31" s="15">
        <v>31.9</v>
      </c>
      <c r="F31" s="15">
        <v>32.299999999999997</v>
      </c>
      <c r="G31" s="15">
        <v>32.5</v>
      </c>
      <c r="H31" s="15">
        <v>32</v>
      </c>
      <c r="I31" s="15">
        <v>32</v>
      </c>
      <c r="J31" s="15">
        <v>31.9</v>
      </c>
      <c r="K31" s="15">
        <v>31.8</v>
      </c>
      <c r="L31" s="15">
        <v>29.9</v>
      </c>
      <c r="M31" s="15">
        <v>30.7</v>
      </c>
      <c r="N31" s="15">
        <v>30.5</v>
      </c>
      <c r="O31" s="15">
        <v>31</v>
      </c>
      <c r="P31" s="12"/>
    </row>
    <row r="32" spans="1:16" ht="15" customHeight="1" x14ac:dyDescent="0.25">
      <c r="A32" s="233"/>
      <c r="B32" s="14">
        <v>46158</v>
      </c>
      <c r="C32" s="12" t="s">
        <v>12</v>
      </c>
      <c r="D32" s="15">
        <v>30.9</v>
      </c>
      <c r="E32" s="15">
        <v>30.8</v>
      </c>
      <c r="F32" s="15">
        <v>30.9</v>
      </c>
      <c r="G32" s="15">
        <v>30.7</v>
      </c>
      <c r="H32" s="15">
        <v>31.3</v>
      </c>
      <c r="I32" s="15">
        <v>32.200000000000003</v>
      </c>
      <c r="J32" s="15">
        <v>31.9</v>
      </c>
      <c r="K32" s="15">
        <v>31.4</v>
      </c>
      <c r="L32" s="15">
        <v>30.8</v>
      </c>
      <c r="M32" s="15">
        <v>30.6</v>
      </c>
      <c r="N32" s="15">
        <v>30.8</v>
      </c>
      <c r="O32" s="15">
        <v>30.6</v>
      </c>
      <c r="P32" s="12"/>
    </row>
    <row r="33" spans="1:16" ht="15" customHeight="1" x14ac:dyDescent="0.25">
      <c r="A33" s="233"/>
      <c r="B33" s="14">
        <v>46159</v>
      </c>
      <c r="C33" s="12" t="s">
        <v>13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2"/>
    </row>
    <row r="34" spans="1:16" ht="15" customHeight="1" x14ac:dyDescent="0.25">
      <c r="A34" s="233"/>
      <c r="B34" s="14">
        <v>46160</v>
      </c>
      <c r="C34" s="12" t="s">
        <v>14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2"/>
    </row>
    <row r="35" spans="1:16" ht="15" customHeight="1" x14ac:dyDescent="0.25">
      <c r="A35" s="233"/>
      <c r="B35" s="14">
        <v>46161</v>
      </c>
      <c r="C35" s="12" t="s">
        <v>15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2"/>
    </row>
    <row r="36" spans="1:16" ht="15" customHeight="1" x14ac:dyDescent="0.25">
      <c r="A36" s="233"/>
      <c r="B36" s="14">
        <v>46162</v>
      </c>
      <c r="C36" s="12" t="s">
        <v>16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6"/>
    </row>
    <row r="37" spans="1:16" ht="15" customHeight="1" x14ac:dyDescent="0.25">
      <c r="A37" s="233"/>
      <c r="B37" s="14">
        <v>46163</v>
      </c>
      <c r="C37" s="12" t="s">
        <v>17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6"/>
    </row>
    <row r="38" spans="1:16" ht="15" customHeight="1" x14ac:dyDescent="0.25">
      <c r="A38" s="233"/>
      <c r="B38" s="14">
        <v>46164</v>
      </c>
      <c r="C38" s="17" t="s">
        <v>18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6"/>
    </row>
    <row r="39" spans="1:16" ht="15" customHeight="1" x14ac:dyDescent="0.25">
      <c r="A39" s="233"/>
      <c r="B39" s="14">
        <v>46165</v>
      </c>
      <c r="C39" s="17" t="s">
        <v>19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6"/>
    </row>
    <row r="40" spans="1:16" ht="15" customHeight="1" x14ac:dyDescent="0.25">
      <c r="A40" s="234"/>
      <c r="B40" s="14">
        <v>46166</v>
      </c>
      <c r="C40" s="17" t="s">
        <v>20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6"/>
    </row>
    <row r="41" spans="1:16" ht="15" customHeight="1" x14ac:dyDescent="0.25">
      <c r="A41" s="232">
        <v>3</v>
      </c>
      <c r="B41" s="235" t="s">
        <v>0</v>
      </c>
      <c r="C41" s="235" t="s">
        <v>65</v>
      </c>
      <c r="D41" s="237" t="s">
        <v>1</v>
      </c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9"/>
      <c r="P41" s="12" t="s">
        <v>2</v>
      </c>
    </row>
    <row r="42" spans="1:16" ht="15" customHeight="1" x14ac:dyDescent="0.25">
      <c r="A42" s="233"/>
      <c r="B42" s="236"/>
      <c r="C42" s="236"/>
      <c r="D42" s="13">
        <v>0.375</v>
      </c>
      <c r="E42" s="13">
        <v>0.45833333333333331</v>
      </c>
      <c r="F42" s="13">
        <v>0.54166666666666696</v>
      </c>
      <c r="G42" s="13">
        <v>0.625</v>
      </c>
      <c r="H42" s="13">
        <v>0.70833333333333304</v>
      </c>
      <c r="I42" s="13">
        <v>0.79166666666666696</v>
      </c>
      <c r="J42" s="13">
        <v>0.875</v>
      </c>
      <c r="K42" s="13">
        <v>0.95833333333333304</v>
      </c>
      <c r="L42" s="13">
        <v>1.0416666666666701</v>
      </c>
      <c r="M42" s="13">
        <v>1.125</v>
      </c>
      <c r="N42" s="13">
        <v>1.2083333333333299</v>
      </c>
      <c r="O42" s="13">
        <v>1.2916666666666601</v>
      </c>
      <c r="P42" s="12"/>
    </row>
    <row r="43" spans="1:16" ht="15" customHeight="1" x14ac:dyDescent="0.25">
      <c r="A43" s="233"/>
      <c r="B43" s="14">
        <v>46149</v>
      </c>
      <c r="C43" s="12" t="s">
        <v>3</v>
      </c>
      <c r="D43" s="15"/>
      <c r="E43" s="15"/>
      <c r="F43" s="15"/>
      <c r="G43" s="15"/>
      <c r="H43" s="15"/>
      <c r="I43" s="15">
        <v>32.799999999999997</v>
      </c>
      <c r="J43" s="15"/>
      <c r="K43" s="15">
        <v>33</v>
      </c>
      <c r="L43" s="15"/>
      <c r="M43" s="15">
        <v>32.9</v>
      </c>
      <c r="N43" s="15"/>
      <c r="O43" s="15">
        <v>32.700000000000003</v>
      </c>
      <c r="P43" s="16"/>
    </row>
    <row r="44" spans="1:16" ht="15" customHeight="1" x14ac:dyDescent="0.25">
      <c r="A44" s="233"/>
      <c r="B44" s="14">
        <v>46150</v>
      </c>
      <c r="C44" s="12" t="s">
        <v>4</v>
      </c>
      <c r="D44" s="15"/>
      <c r="E44" s="15">
        <v>33.799999999999997</v>
      </c>
      <c r="F44" s="15"/>
      <c r="G44" s="15">
        <v>33.700000000000003</v>
      </c>
      <c r="H44" s="15"/>
      <c r="I44" s="15">
        <v>33.799999999999997</v>
      </c>
      <c r="J44" s="15"/>
      <c r="K44" s="15">
        <v>33.799999999999997</v>
      </c>
      <c r="L44" s="15"/>
      <c r="M44" s="15">
        <v>33.700000000000003</v>
      </c>
      <c r="N44" s="15"/>
      <c r="O44" s="15">
        <v>33.6</v>
      </c>
      <c r="P44" s="12"/>
    </row>
    <row r="45" spans="1:16" ht="15" customHeight="1" x14ac:dyDescent="0.25">
      <c r="A45" s="233"/>
      <c r="B45" s="14">
        <v>46151</v>
      </c>
      <c r="C45" s="12" t="s">
        <v>5</v>
      </c>
      <c r="D45" s="15">
        <v>33.9</v>
      </c>
      <c r="E45" s="15">
        <v>33.700000000000003</v>
      </c>
      <c r="F45" s="15">
        <v>33.700000000000003</v>
      </c>
      <c r="G45" s="15">
        <v>33.799999999999997</v>
      </c>
      <c r="H45" s="15">
        <v>33.700000000000003</v>
      </c>
      <c r="I45" s="15">
        <v>33.9</v>
      </c>
      <c r="J45" s="15">
        <v>33.5</v>
      </c>
      <c r="K45" s="15">
        <v>33.9</v>
      </c>
      <c r="L45" s="15">
        <v>33.700000000000003</v>
      </c>
      <c r="M45" s="15">
        <v>33.5</v>
      </c>
      <c r="N45" s="15">
        <v>34</v>
      </c>
      <c r="O45" s="15">
        <v>33.700000000000003</v>
      </c>
      <c r="P45" s="12"/>
    </row>
    <row r="46" spans="1:16" ht="15" customHeight="1" x14ac:dyDescent="0.25">
      <c r="A46" s="233"/>
      <c r="B46" s="14">
        <v>46152</v>
      </c>
      <c r="C46" s="12" t="s">
        <v>6</v>
      </c>
      <c r="D46" s="15">
        <v>33.9</v>
      </c>
      <c r="E46" s="15">
        <v>34</v>
      </c>
      <c r="F46" s="15">
        <v>34.1</v>
      </c>
      <c r="G46" s="15">
        <v>34.1</v>
      </c>
      <c r="H46" s="15">
        <v>34.1</v>
      </c>
      <c r="I46" s="15">
        <v>33.700000000000003</v>
      </c>
      <c r="J46" s="15">
        <v>34</v>
      </c>
      <c r="K46" s="15">
        <v>33.6</v>
      </c>
      <c r="L46" s="15">
        <v>33.6</v>
      </c>
      <c r="M46" s="15">
        <v>33.6</v>
      </c>
      <c r="N46" s="15">
        <v>33.700000000000003</v>
      </c>
      <c r="O46" s="15">
        <v>34</v>
      </c>
      <c r="P46" s="12"/>
    </row>
    <row r="47" spans="1:16" ht="15" customHeight="1" x14ac:dyDescent="0.25">
      <c r="A47" s="233"/>
      <c r="B47" s="14">
        <v>46153</v>
      </c>
      <c r="C47" s="12" t="s">
        <v>7</v>
      </c>
      <c r="D47" s="15">
        <v>33.5</v>
      </c>
      <c r="E47" s="15">
        <v>34</v>
      </c>
      <c r="F47" s="15">
        <v>33.9</v>
      </c>
      <c r="G47" s="15">
        <v>33.9</v>
      </c>
      <c r="H47" s="15">
        <v>33.700000000000003</v>
      </c>
      <c r="I47" s="15">
        <v>33.200000000000003</v>
      </c>
      <c r="J47" s="15">
        <v>33.1</v>
      </c>
      <c r="K47" s="15">
        <v>32.700000000000003</v>
      </c>
      <c r="L47" s="15">
        <v>33</v>
      </c>
      <c r="M47" s="15">
        <v>32.799999999999997</v>
      </c>
      <c r="N47" s="15">
        <v>33</v>
      </c>
      <c r="O47" s="15">
        <v>32.700000000000003</v>
      </c>
      <c r="P47" s="12"/>
    </row>
    <row r="48" spans="1:16" ht="15" customHeight="1" x14ac:dyDescent="0.25">
      <c r="A48" s="233"/>
      <c r="B48" s="14">
        <v>46154</v>
      </c>
      <c r="C48" s="12" t="s">
        <v>8</v>
      </c>
      <c r="D48" s="15">
        <v>32.5</v>
      </c>
      <c r="E48" s="15">
        <v>33</v>
      </c>
      <c r="F48" s="15">
        <v>33</v>
      </c>
      <c r="G48" s="15">
        <v>33</v>
      </c>
      <c r="H48" s="15">
        <v>32.799999999999997</v>
      </c>
      <c r="I48" s="15">
        <v>32.6</v>
      </c>
      <c r="J48" s="15">
        <v>33</v>
      </c>
      <c r="K48" s="15">
        <v>32.5</v>
      </c>
      <c r="L48" s="15">
        <v>32.700000000000003</v>
      </c>
      <c r="M48" s="15">
        <v>33</v>
      </c>
      <c r="N48" s="15">
        <v>32.6</v>
      </c>
      <c r="O48" s="15">
        <v>33</v>
      </c>
      <c r="P48" s="12"/>
    </row>
    <row r="49" spans="1:16" ht="15" customHeight="1" x14ac:dyDescent="0.25">
      <c r="A49" s="233"/>
      <c r="B49" s="14">
        <v>46155</v>
      </c>
      <c r="C49" s="12" t="s">
        <v>9</v>
      </c>
      <c r="D49" s="15">
        <v>32.6</v>
      </c>
      <c r="E49" s="15">
        <v>32.6</v>
      </c>
      <c r="F49" s="15">
        <v>32.6</v>
      </c>
      <c r="G49" s="15">
        <v>32.6</v>
      </c>
      <c r="H49" s="15">
        <v>32.6</v>
      </c>
      <c r="I49" s="15">
        <v>32.299999999999997</v>
      </c>
      <c r="J49" s="15">
        <v>32</v>
      </c>
      <c r="K49" s="15">
        <v>31.8</v>
      </c>
      <c r="L49" s="15">
        <v>31.9</v>
      </c>
      <c r="M49" s="15">
        <v>31.6</v>
      </c>
      <c r="N49" s="15">
        <v>32</v>
      </c>
      <c r="O49" s="15">
        <v>31.5</v>
      </c>
      <c r="P49" s="12"/>
    </row>
    <row r="50" spans="1:16" ht="15" customHeight="1" x14ac:dyDescent="0.25">
      <c r="A50" s="233"/>
      <c r="B50" s="14">
        <v>46156</v>
      </c>
      <c r="C50" s="12" t="s">
        <v>10</v>
      </c>
      <c r="D50" s="15">
        <v>32</v>
      </c>
      <c r="E50" s="15">
        <v>32</v>
      </c>
      <c r="F50" s="15">
        <v>32.4</v>
      </c>
      <c r="G50" s="15">
        <v>32.5</v>
      </c>
      <c r="H50" s="15">
        <v>32.700000000000003</v>
      </c>
      <c r="I50" s="15">
        <v>32.6</v>
      </c>
      <c r="J50" s="15">
        <v>32.299999999999997</v>
      </c>
      <c r="K50" s="15">
        <v>32</v>
      </c>
      <c r="L50" s="15">
        <v>31.7</v>
      </c>
      <c r="M50" s="15">
        <v>32</v>
      </c>
      <c r="N50" s="15">
        <v>31.7</v>
      </c>
      <c r="O50" s="15">
        <v>32</v>
      </c>
      <c r="P50" s="12"/>
    </row>
    <row r="51" spans="1:16" ht="15" customHeight="1" x14ac:dyDescent="0.25">
      <c r="A51" s="233"/>
      <c r="B51" s="14">
        <v>46157</v>
      </c>
      <c r="C51" s="12" t="s">
        <v>11</v>
      </c>
      <c r="D51" s="15">
        <v>31.7</v>
      </c>
      <c r="E51" s="15">
        <v>31.6</v>
      </c>
      <c r="F51" s="15">
        <v>32.1</v>
      </c>
      <c r="G51" s="15">
        <v>32.200000000000003</v>
      </c>
      <c r="H51" s="15">
        <v>32.200000000000003</v>
      </c>
      <c r="I51" s="15">
        <v>32</v>
      </c>
      <c r="J51" s="15">
        <v>31.7</v>
      </c>
      <c r="K51" s="15">
        <v>31.4</v>
      </c>
      <c r="L51" s="15">
        <v>31.1</v>
      </c>
      <c r="M51" s="15">
        <v>30.7</v>
      </c>
      <c r="N51" s="15">
        <v>30.6</v>
      </c>
      <c r="O51" s="15">
        <v>31</v>
      </c>
      <c r="P51" s="12"/>
    </row>
    <row r="52" spans="1:16" ht="15" customHeight="1" x14ac:dyDescent="0.25">
      <c r="A52" s="233"/>
      <c r="B52" s="14">
        <v>46158</v>
      </c>
      <c r="C52" s="12" t="s">
        <v>12</v>
      </c>
      <c r="D52" s="15">
        <v>30.9</v>
      </c>
      <c r="E52" s="15">
        <v>30.8</v>
      </c>
      <c r="F52" s="15">
        <v>30.7</v>
      </c>
      <c r="G52" s="15">
        <v>30.7</v>
      </c>
      <c r="H52" s="15">
        <v>30.7</v>
      </c>
      <c r="I52" s="15">
        <v>30.7</v>
      </c>
      <c r="J52" s="15">
        <v>30.7</v>
      </c>
      <c r="K52" s="15">
        <v>30.5</v>
      </c>
      <c r="L52" s="15">
        <v>30.9</v>
      </c>
      <c r="M52" s="15">
        <v>30.7</v>
      </c>
      <c r="N52" s="15">
        <v>30.6</v>
      </c>
      <c r="O52" s="15">
        <v>30.9</v>
      </c>
      <c r="P52" s="12"/>
    </row>
    <row r="53" spans="1:16" ht="15" customHeight="1" x14ac:dyDescent="0.25">
      <c r="A53" s="233"/>
      <c r="B53" s="14">
        <v>46159</v>
      </c>
      <c r="C53" s="12" t="s">
        <v>13</v>
      </c>
      <c r="D53" s="15">
        <v>30.8</v>
      </c>
      <c r="E53" s="15">
        <v>30.7</v>
      </c>
      <c r="F53" s="15">
        <v>31.2</v>
      </c>
      <c r="G53" s="15">
        <v>31.4</v>
      </c>
      <c r="H53" s="15">
        <v>31.5</v>
      </c>
      <c r="I53" s="15">
        <v>31.4</v>
      </c>
      <c r="J53" s="15">
        <v>31.2</v>
      </c>
      <c r="K53" s="15">
        <v>31</v>
      </c>
      <c r="L53" s="15">
        <v>30.7</v>
      </c>
      <c r="M53" s="15">
        <v>30.6</v>
      </c>
      <c r="N53" s="15">
        <v>30.3</v>
      </c>
      <c r="O53" s="15">
        <v>30</v>
      </c>
      <c r="P53" s="12"/>
    </row>
    <row r="54" spans="1:16" ht="15" customHeight="1" x14ac:dyDescent="0.25">
      <c r="A54" s="233"/>
      <c r="B54" s="14">
        <v>46160</v>
      </c>
      <c r="C54" s="12" t="s">
        <v>14</v>
      </c>
      <c r="D54" s="15">
        <v>30</v>
      </c>
      <c r="E54" s="15">
        <v>30.5</v>
      </c>
      <c r="F54" s="15">
        <v>30.9</v>
      </c>
      <c r="G54" s="15">
        <v>31</v>
      </c>
      <c r="H54" s="15">
        <v>31</v>
      </c>
      <c r="I54" s="15">
        <v>31</v>
      </c>
      <c r="J54" s="15">
        <v>30.6</v>
      </c>
      <c r="K54" s="15">
        <v>30.5</v>
      </c>
      <c r="L54" s="15">
        <v>30.4</v>
      </c>
      <c r="M54" s="15">
        <v>30.1</v>
      </c>
      <c r="N54" s="15">
        <v>29.7</v>
      </c>
      <c r="O54" s="15">
        <v>30.6</v>
      </c>
      <c r="P54" s="12"/>
    </row>
    <row r="55" spans="1:16" ht="15" customHeight="1" x14ac:dyDescent="0.25">
      <c r="A55" s="233"/>
      <c r="B55" s="14">
        <v>46161</v>
      </c>
      <c r="C55" s="12" t="s">
        <v>15</v>
      </c>
      <c r="D55" s="15">
        <v>29.9</v>
      </c>
      <c r="E55" s="15">
        <v>30.2</v>
      </c>
      <c r="F55" s="15">
        <v>30.7</v>
      </c>
      <c r="G55" s="15">
        <v>31</v>
      </c>
      <c r="H55" s="15">
        <v>30.9</v>
      </c>
      <c r="I55" s="15">
        <v>30.9</v>
      </c>
      <c r="J55" s="15">
        <v>30.6</v>
      </c>
      <c r="K55" s="15">
        <v>30.9</v>
      </c>
      <c r="L55" s="15">
        <v>30.9</v>
      </c>
      <c r="M55" s="15">
        <v>30.4</v>
      </c>
      <c r="N55" s="15">
        <v>30.2</v>
      </c>
      <c r="O55" s="15">
        <v>30.1</v>
      </c>
      <c r="P55" s="12"/>
    </row>
    <row r="56" spans="1:16" ht="15" customHeight="1" x14ac:dyDescent="0.25">
      <c r="A56" s="233"/>
      <c r="B56" s="14">
        <v>46162</v>
      </c>
      <c r="C56" s="12" t="s">
        <v>16</v>
      </c>
      <c r="D56" s="15">
        <v>30</v>
      </c>
      <c r="E56" s="15">
        <v>30.1</v>
      </c>
      <c r="F56" s="15">
        <v>30.1</v>
      </c>
      <c r="G56" s="15">
        <v>30.2</v>
      </c>
      <c r="H56" s="15">
        <v>30.2</v>
      </c>
      <c r="I56" s="15">
        <v>30.2</v>
      </c>
      <c r="J56" s="15">
        <v>30.2</v>
      </c>
      <c r="K56" s="15">
        <v>30.2</v>
      </c>
      <c r="L56" s="15">
        <v>30.4</v>
      </c>
      <c r="M56" s="15">
        <v>30</v>
      </c>
      <c r="N56" s="15">
        <v>29.7</v>
      </c>
      <c r="O56" s="15">
        <v>29.5</v>
      </c>
      <c r="P56" s="16"/>
    </row>
    <row r="57" spans="1:16" ht="15" customHeight="1" x14ac:dyDescent="0.25">
      <c r="A57" s="233"/>
      <c r="B57" s="14">
        <v>46163</v>
      </c>
      <c r="C57" s="12" t="s">
        <v>17</v>
      </c>
      <c r="D57" s="15">
        <v>29.9</v>
      </c>
      <c r="E57" s="15">
        <v>30</v>
      </c>
      <c r="F57" s="15">
        <v>30.1</v>
      </c>
      <c r="G57" s="15">
        <v>30.2</v>
      </c>
      <c r="H57" s="15">
        <v>30.2</v>
      </c>
      <c r="I57" s="15">
        <v>30.2</v>
      </c>
      <c r="J57" s="15">
        <v>30.2</v>
      </c>
      <c r="K57" s="15">
        <v>30.1</v>
      </c>
      <c r="L57" s="15">
        <v>29.9</v>
      </c>
      <c r="M57" s="15">
        <v>29.7</v>
      </c>
      <c r="N57" s="15">
        <v>29.6</v>
      </c>
      <c r="O57" s="15">
        <v>29.9</v>
      </c>
      <c r="P57" s="16"/>
    </row>
    <row r="58" spans="1:16" ht="15" customHeight="1" x14ac:dyDescent="0.25">
      <c r="A58" s="233"/>
      <c r="B58" s="14">
        <v>46164</v>
      </c>
      <c r="C58" s="17" t="s">
        <v>18</v>
      </c>
      <c r="D58" s="15">
        <v>30</v>
      </c>
      <c r="E58" s="15">
        <v>30</v>
      </c>
      <c r="F58" s="15">
        <v>30.3</v>
      </c>
      <c r="G58" s="15">
        <v>30.1</v>
      </c>
      <c r="H58" s="15">
        <v>30.3</v>
      </c>
      <c r="I58" s="15">
        <v>30.5</v>
      </c>
      <c r="J58" s="15">
        <v>30.3</v>
      </c>
      <c r="K58" s="15">
        <v>30.1</v>
      </c>
      <c r="L58" s="15">
        <v>29.9</v>
      </c>
      <c r="M58" s="15">
        <v>29.6</v>
      </c>
      <c r="N58" s="15">
        <v>29.5</v>
      </c>
      <c r="O58" s="15">
        <v>30</v>
      </c>
      <c r="P58" s="16"/>
    </row>
    <row r="59" spans="1:16" ht="15" customHeight="1" x14ac:dyDescent="0.25">
      <c r="A59" s="233"/>
      <c r="B59" s="14">
        <v>46165</v>
      </c>
      <c r="C59" s="17" t="s">
        <v>19</v>
      </c>
      <c r="D59" s="15">
        <v>29.7</v>
      </c>
      <c r="E59" s="15">
        <v>30.1</v>
      </c>
      <c r="F59" s="15">
        <v>30.4</v>
      </c>
      <c r="G59" s="15">
        <v>30.4</v>
      </c>
      <c r="H59" s="15">
        <v>30.6</v>
      </c>
      <c r="I59" s="15"/>
      <c r="J59" s="15"/>
      <c r="K59" s="15"/>
      <c r="L59" s="15"/>
      <c r="M59" s="15"/>
      <c r="N59" s="15"/>
      <c r="O59" s="15"/>
      <c r="P59" s="16"/>
    </row>
    <row r="60" spans="1:16" ht="15" customHeight="1" x14ac:dyDescent="0.25">
      <c r="A60" s="234"/>
      <c r="B60" s="14">
        <v>46166</v>
      </c>
      <c r="C60" s="17" t="s">
        <v>20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6"/>
    </row>
    <row r="61" spans="1:16" ht="15" customHeight="1" x14ac:dyDescent="0.25">
      <c r="A61" s="232">
        <v>4</v>
      </c>
      <c r="B61" s="235" t="s">
        <v>0</v>
      </c>
      <c r="C61" s="235" t="s">
        <v>65</v>
      </c>
      <c r="D61" s="237" t="s">
        <v>1</v>
      </c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9"/>
      <c r="P61" s="12" t="s">
        <v>2</v>
      </c>
    </row>
    <row r="62" spans="1:16" ht="15" customHeight="1" x14ac:dyDescent="0.25">
      <c r="A62" s="233"/>
      <c r="B62" s="236"/>
      <c r="C62" s="236"/>
      <c r="D62" s="13">
        <v>0.375</v>
      </c>
      <c r="E62" s="13">
        <v>0.45833333333333331</v>
      </c>
      <c r="F62" s="13">
        <v>0.54166666666666696</v>
      </c>
      <c r="G62" s="13">
        <v>0.625</v>
      </c>
      <c r="H62" s="13">
        <v>0.70833333333333304</v>
      </c>
      <c r="I62" s="13">
        <v>0.79166666666666696</v>
      </c>
      <c r="J62" s="13">
        <v>0.875</v>
      </c>
      <c r="K62" s="13">
        <v>0.95833333333333304</v>
      </c>
      <c r="L62" s="13">
        <v>1.0416666666666701</v>
      </c>
      <c r="M62" s="13">
        <v>1.125</v>
      </c>
      <c r="N62" s="13">
        <v>1.2083333333333299</v>
      </c>
      <c r="O62" s="13">
        <v>1.2916666666666601</v>
      </c>
      <c r="P62" s="12"/>
    </row>
    <row r="63" spans="1:16" ht="15" customHeight="1" x14ac:dyDescent="0.25">
      <c r="A63" s="233"/>
      <c r="B63" s="14">
        <v>46149</v>
      </c>
      <c r="C63" s="12" t="s">
        <v>3</v>
      </c>
      <c r="D63" s="15"/>
      <c r="E63" s="15"/>
      <c r="F63" s="15"/>
      <c r="G63" s="15"/>
      <c r="H63" s="15"/>
      <c r="I63" s="15">
        <v>32.799999999999997</v>
      </c>
      <c r="J63" s="15"/>
      <c r="K63" s="15">
        <v>32.6</v>
      </c>
      <c r="L63" s="15"/>
      <c r="M63" s="15">
        <v>33</v>
      </c>
      <c r="N63" s="15"/>
      <c r="O63" s="15">
        <v>32.700000000000003</v>
      </c>
      <c r="P63" s="16"/>
    </row>
    <row r="64" spans="1:16" ht="15" customHeight="1" x14ac:dyDescent="0.25">
      <c r="A64" s="233"/>
      <c r="B64" s="14">
        <v>46150</v>
      </c>
      <c r="C64" s="12" t="s">
        <v>4</v>
      </c>
      <c r="D64" s="15"/>
      <c r="E64" s="15">
        <v>33.799999999999997</v>
      </c>
      <c r="F64" s="15"/>
      <c r="G64" s="15">
        <v>33.700000000000003</v>
      </c>
      <c r="H64" s="15"/>
      <c r="I64" s="15">
        <v>34</v>
      </c>
      <c r="J64" s="15"/>
      <c r="K64" s="15">
        <v>34</v>
      </c>
      <c r="L64" s="15"/>
      <c r="M64" s="15">
        <v>33.9</v>
      </c>
      <c r="N64" s="15"/>
      <c r="O64" s="15">
        <v>33.799999999999997</v>
      </c>
      <c r="P64" s="12"/>
    </row>
    <row r="65" spans="1:16" ht="15" customHeight="1" x14ac:dyDescent="0.25">
      <c r="A65" s="233"/>
      <c r="B65" s="14">
        <v>46151</v>
      </c>
      <c r="C65" s="12" t="s">
        <v>5</v>
      </c>
      <c r="D65" s="15">
        <v>33.9</v>
      </c>
      <c r="E65" s="15">
        <v>33.700000000000003</v>
      </c>
      <c r="F65" s="15">
        <v>33.700000000000003</v>
      </c>
      <c r="G65" s="15">
        <v>33.700000000000003</v>
      </c>
      <c r="H65" s="15">
        <v>33.799999999999997</v>
      </c>
      <c r="I65" s="15">
        <v>33.9</v>
      </c>
      <c r="J65" s="15">
        <v>33.700000000000003</v>
      </c>
      <c r="K65" s="15">
        <v>33.9</v>
      </c>
      <c r="L65" s="15">
        <v>33.799999999999997</v>
      </c>
      <c r="M65" s="15">
        <v>34</v>
      </c>
      <c r="N65" s="15">
        <v>33.6</v>
      </c>
      <c r="O65" s="15">
        <v>33.9</v>
      </c>
      <c r="P65" s="12"/>
    </row>
    <row r="66" spans="1:16" ht="15" customHeight="1" x14ac:dyDescent="0.25">
      <c r="A66" s="233"/>
      <c r="B66" s="14">
        <v>46152</v>
      </c>
      <c r="C66" s="12" t="s">
        <v>6</v>
      </c>
      <c r="D66" s="15">
        <v>33.5</v>
      </c>
      <c r="E66" s="15">
        <v>34</v>
      </c>
      <c r="F66" s="15">
        <v>34</v>
      </c>
      <c r="G66" s="15">
        <v>34</v>
      </c>
      <c r="H66" s="15">
        <v>34</v>
      </c>
      <c r="I66" s="15">
        <v>33.799999999999997</v>
      </c>
      <c r="J66" s="15">
        <v>33.799999999999997</v>
      </c>
      <c r="K66" s="15">
        <v>33.799999999999997</v>
      </c>
      <c r="L66" s="15">
        <v>33.799999999999997</v>
      </c>
      <c r="M66" s="15">
        <v>33.6</v>
      </c>
      <c r="N66" s="15">
        <v>34</v>
      </c>
      <c r="O66" s="15">
        <v>33.6</v>
      </c>
      <c r="P66" s="12"/>
    </row>
    <row r="67" spans="1:16" ht="15" customHeight="1" x14ac:dyDescent="0.25">
      <c r="A67" s="233"/>
      <c r="B67" s="14">
        <v>46153</v>
      </c>
      <c r="C67" s="12" t="s">
        <v>7</v>
      </c>
      <c r="D67" s="15">
        <v>34</v>
      </c>
      <c r="E67" s="15">
        <v>33.799999999999997</v>
      </c>
      <c r="F67" s="15">
        <v>33.700000000000003</v>
      </c>
      <c r="G67" s="15">
        <v>33.700000000000003</v>
      </c>
      <c r="H67" s="15">
        <v>33.700000000000003</v>
      </c>
      <c r="I67" s="15">
        <v>33.200000000000003</v>
      </c>
      <c r="J67" s="15">
        <v>33</v>
      </c>
      <c r="K67" s="15">
        <v>32.799999999999997</v>
      </c>
      <c r="L67" s="15">
        <v>33</v>
      </c>
      <c r="M67" s="15">
        <v>32.799999999999997</v>
      </c>
      <c r="N67" s="15">
        <v>33</v>
      </c>
      <c r="O67" s="15">
        <v>32.799999999999997</v>
      </c>
      <c r="P67" s="12"/>
    </row>
    <row r="68" spans="1:16" ht="15" customHeight="1" x14ac:dyDescent="0.25">
      <c r="A68" s="233"/>
      <c r="B68" s="14">
        <v>46154</v>
      </c>
      <c r="C68" s="12" t="s">
        <v>8</v>
      </c>
      <c r="D68" s="15">
        <v>33</v>
      </c>
      <c r="E68" s="15">
        <v>32.6</v>
      </c>
      <c r="F68" s="15">
        <v>32.6</v>
      </c>
      <c r="G68" s="15">
        <v>32.6</v>
      </c>
      <c r="H68" s="15">
        <v>32.700000000000003</v>
      </c>
      <c r="I68" s="15">
        <v>32.9</v>
      </c>
      <c r="J68" s="15">
        <v>32.5</v>
      </c>
      <c r="K68" s="15">
        <v>32.700000000000003</v>
      </c>
      <c r="L68" s="15">
        <v>33</v>
      </c>
      <c r="M68" s="15">
        <v>32.700000000000003</v>
      </c>
      <c r="N68" s="15">
        <v>32.700000000000003</v>
      </c>
      <c r="O68" s="15">
        <v>32.700000000000003</v>
      </c>
      <c r="P68" s="12"/>
    </row>
    <row r="69" spans="1:16" ht="15" customHeight="1" x14ac:dyDescent="0.25">
      <c r="A69" s="233"/>
      <c r="B69" s="14">
        <v>46155</v>
      </c>
      <c r="C69" s="12" t="s">
        <v>9</v>
      </c>
      <c r="D69" s="15">
        <v>32.9</v>
      </c>
      <c r="E69" s="15">
        <v>32.700000000000003</v>
      </c>
      <c r="F69" s="15">
        <v>32.700000000000003</v>
      </c>
      <c r="G69" s="15">
        <v>32.700000000000003</v>
      </c>
      <c r="H69" s="15">
        <v>32.6</v>
      </c>
      <c r="I69" s="15">
        <v>32.299999999999997</v>
      </c>
      <c r="J69" s="15">
        <v>32</v>
      </c>
      <c r="K69" s="15">
        <v>31.8</v>
      </c>
      <c r="L69" s="15">
        <v>31.5</v>
      </c>
      <c r="M69" s="15">
        <v>31.7</v>
      </c>
      <c r="N69" s="15">
        <v>31.6</v>
      </c>
      <c r="O69" s="15">
        <v>31.8</v>
      </c>
      <c r="P69" s="12"/>
    </row>
    <row r="70" spans="1:16" ht="15" customHeight="1" x14ac:dyDescent="0.25">
      <c r="A70" s="233"/>
      <c r="B70" s="14">
        <v>46156</v>
      </c>
      <c r="C70" s="12" t="s">
        <v>10</v>
      </c>
      <c r="D70" s="15">
        <v>31.6</v>
      </c>
      <c r="E70" s="15">
        <v>32</v>
      </c>
      <c r="F70" s="15">
        <v>32.4</v>
      </c>
      <c r="G70" s="15">
        <v>32.5</v>
      </c>
      <c r="H70" s="15">
        <v>32.700000000000003</v>
      </c>
      <c r="I70" s="15">
        <v>32.5</v>
      </c>
      <c r="J70" s="15">
        <v>32.200000000000003</v>
      </c>
      <c r="K70" s="15">
        <v>31.8</v>
      </c>
      <c r="L70" s="15">
        <v>31.6</v>
      </c>
      <c r="M70" s="15">
        <v>31.8</v>
      </c>
      <c r="N70" s="15">
        <v>31.7</v>
      </c>
      <c r="O70" s="15">
        <v>31.8</v>
      </c>
      <c r="P70" s="12"/>
    </row>
    <row r="71" spans="1:16" ht="15" customHeight="1" x14ac:dyDescent="0.25">
      <c r="A71" s="233"/>
      <c r="B71" s="14">
        <v>46157</v>
      </c>
      <c r="C71" s="12" t="s">
        <v>11</v>
      </c>
      <c r="D71" s="15">
        <v>32</v>
      </c>
      <c r="E71" s="15">
        <v>31.9</v>
      </c>
      <c r="F71" s="15">
        <v>32.200000000000003</v>
      </c>
      <c r="G71" s="15">
        <v>32.4</v>
      </c>
      <c r="H71" s="15">
        <v>32.200000000000003</v>
      </c>
      <c r="I71" s="15">
        <v>31.9</v>
      </c>
      <c r="J71" s="15">
        <v>31.6</v>
      </c>
      <c r="K71" s="15">
        <v>31.2</v>
      </c>
      <c r="L71" s="15">
        <v>30.9</v>
      </c>
      <c r="M71" s="15">
        <v>30</v>
      </c>
      <c r="N71" s="15">
        <v>31</v>
      </c>
      <c r="O71" s="15">
        <v>30.7</v>
      </c>
      <c r="P71" s="12"/>
    </row>
    <row r="72" spans="1:16" ht="15" customHeight="1" x14ac:dyDescent="0.25">
      <c r="A72" s="233"/>
      <c r="B72" s="14">
        <v>46158</v>
      </c>
      <c r="C72" s="12" t="s">
        <v>12</v>
      </c>
      <c r="D72" s="15">
        <v>30.8</v>
      </c>
      <c r="E72" s="15">
        <v>31</v>
      </c>
      <c r="F72" s="15">
        <v>30.9</v>
      </c>
      <c r="G72" s="15">
        <v>30.9</v>
      </c>
      <c r="H72" s="15">
        <v>30.7</v>
      </c>
      <c r="I72" s="15">
        <v>30.9</v>
      </c>
      <c r="J72" s="15">
        <v>30.9</v>
      </c>
      <c r="K72" s="15">
        <v>30.6</v>
      </c>
      <c r="L72" s="15">
        <v>30.8</v>
      </c>
      <c r="M72" s="15">
        <v>30.6</v>
      </c>
      <c r="N72" s="15">
        <v>31</v>
      </c>
      <c r="O72" s="15">
        <v>30.6</v>
      </c>
      <c r="P72" s="12"/>
    </row>
    <row r="73" spans="1:16" ht="15" customHeight="1" x14ac:dyDescent="0.25">
      <c r="A73" s="233"/>
      <c r="B73" s="14">
        <v>46159</v>
      </c>
      <c r="C73" s="12" t="s">
        <v>13</v>
      </c>
      <c r="D73" s="15">
        <v>30.9</v>
      </c>
      <c r="E73" s="15">
        <v>30.8</v>
      </c>
      <c r="F73" s="15">
        <v>31</v>
      </c>
      <c r="G73" s="15">
        <v>31.1</v>
      </c>
      <c r="H73" s="15">
        <v>31.5</v>
      </c>
      <c r="I73" s="15">
        <v>31.5</v>
      </c>
      <c r="J73" s="15">
        <v>31.3</v>
      </c>
      <c r="K73" s="15">
        <v>31</v>
      </c>
      <c r="L73" s="15">
        <v>30.7</v>
      </c>
      <c r="M73" s="15">
        <v>30.5</v>
      </c>
      <c r="N73" s="15">
        <v>29.8</v>
      </c>
      <c r="O73" s="15">
        <v>30.2</v>
      </c>
      <c r="P73" s="12"/>
    </row>
    <row r="74" spans="1:16" ht="15" customHeight="1" x14ac:dyDescent="0.25">
      <c r="A74" s="233"/>
      <c r="B74" s="14">
        <v>46160</v>
      </c>
      <c r="C74" s="12" t="s">
        <v>14</v>
      </c>
      <c r="D74" s="15">
        <v>29.9</v>
      </c>
      <c r="E74" s="15">
        <v>30.4</v>
      </c>
      <c r="F74" s="15">
        <v>31.4</v>
      </c>
      <c r="G74" s="15">
        <v>31.7</v>
      </c>
      <c r="H74" s="15">
        <v>31.7</v>
      </c>
      <c r="I74" s="15">
        <v>31.7</v>
      </c>
      <c r="J74" s="15">
        <v>31.5</v>
      </c>
      <c r="K74" s="15">
        <v>31.2</v>
      </c>
      <c r="L74" s="15">
        <v>30.8</v>
      </c>
      <c r="M74" s="15">
        <v>30.7</v>
      </c>
      <c r="N74" s="15">
        <v>30.4</v>
      </c>
      <c r="O74" s="15">
        <v>30.2</v>
      </c>
      <c r="P74" s="12"/>
    </row>
    <row r="75" spans="1:16" ht="15" customHeight="1" x14ac:dyDescent="0.25">
      <c r="A75" s="233"/>
      <c r="B75" s="14">
        <v>46161</v>
      </c>
      <c r="C75" s="12" t="s">
        <v>15</v>
      </c>
      <c r="D75" s="15">
        <v>30.1</v>
      </c>
      <c r="E75" s="15">
        <v>30.4</v>
      </c>
      <c r="F75" s="15">
        <v>31.3</v>
      </c>
      <c r="G75" s="15">
        <v>31.6</v>
      </c>
      <c r="H75" s="15">
        <v>31.6</v>
      </c>
      <c r="I75" s="15">
        <v>31.6</v>
      </c>
      <c r="J75" s="15">
        <v>31.4</v>
      </c>
      <c r="K75" s="15">
        <v>31.1</v>
      </c>
      <c r="L75" s="15">
        <v>31.1</v>
      </c>
      <c r="M75" s="15">
        <v>30.9</v>
      </c>
      <c r="N75" s="15">
        <v>30.7</v>
      </c>
      <c r="O75" s="15">
        <v>30.6</v>
      </c>
      <c r="P75" s="12"/>
    </row>
    <row r="76" spans="1:16" ht="15" customHeight="1" x14ac:dyDescent="0.25">
      <c r="A76" s="233"/>
      <c r="B76" s="14">
        <v>46162</v>
      </c>
      <c r="C76" s="12" t="s">
        <v>16</v>
      </c>
      <c r="D76" s="15">
        <v>30.4</v>
      </c>
      <c r="E76" s="15">
        <v>30.4</v>
      </c>
      <c r="F76" s="15">
        <v>30.6</v>
      </c>
      <c r="G76" s="15">
        <v>30.9</v>
      </c>
      <c r="H76" s="15">
        <v>30.9</v>
      </c>
      <c r="I76" s="15">
        <v>30.9</v>
      </c>
      <c r="J76" s="15">
        <v>30.9</v>
      </c>
      <c r="K76" s="15">
        <v>30.7</v>
      </c>
      <c r="L76" s="15">
        <v>30.3</v>
      </c>
      <c r="M76" s="15">
        <v>30.3</v>
      </c>
      <c r="N76" s="15">
        <v>30.2</v>
      </c>
      <c r="O76" s="15">
        <v>29.8</v>
      </c>
      <c r="P76" s="16"/>
    </row>
    <row r="77" spans="1:16" ht="15" customHeight="1" x14ac:dyDescent="0.25">
      <c r="A77" s="233"/>
      <c r="B77" s="14">
        <v>46163</v>
      </c>
      <c r="C77" s="12" t="s">
        <v>17</v>
      </c>
      <c r="D77" s="15">
        <v>29.8</v>
      </c>
      <c r="E77" s="15">
        <v>30.2</v>
      </c>
      <c r="F77" s="15">
        <v>30.4</v>
      </c>
      <c r="G77" s="15">
        <v>30.7</v>
      </c>
      <c r="H77" s="15">
        <v>30.7</v>
      </c>
      <c r="I77" s="15">
        <v>30.7</v>
      </c>
      <c r="J77" s="15">
        <v>30.7</v>
      </c>
      <c r="K77" s="15">
        <v>30.6</v>
      </c>
      <c r="L77" s="15">
        <v>30.4</v>
      </c>
      <c r="M77" s="15">
        <v>30.2</v>
      </c>
      <c r="N77" s="15">
        <v>30.1</v>
      </c>
      <c r="O77" s="15">
        <v>30</v>
      </c>
      <c r="P77" s="16"/>
    </row>
    <row r="78" spans="1:16" ht="15" customHeight="1" x14ac:dyDescent="0.25">
      <c r="A78" s="233"/>
      <c r="B78" s="14">
        <v>46164</v>
      </c>
      <c r="C78" s="17" t="s">
        <v>18</v>
      </c>
      <c r="D78" s="15">
        <v>29.8</v>
      </c>
      <c r="E78" s="15">
        <v>30.1</v>
      </c>
      <c r="F78" s="15">
        <v>30.8</v>
      </c>
      <c r="G78" s="15">
        <v>30.9</v>
      </c>
      <c r="H78" s="15">
        <v>30.9</v>
      </c>
      <c r="I78" s="15">
        <v>30.9</v>
      </c>
      <c r="J78" s="15">
        <v>30.9</v>
      </c>
      <c r="K78" s="15">
        <v>30.7</v>
      </c>
      <c r="L78" s="15">
        <v>30.6</v>
      </c>
      <c r="M78" s="15">
        <v>30.3</v>
      </c>
      <c r="N78" s="15">
        <v>30.1</v>
      </c>
      <c r="O78" s="15">
        <v>29.8</v>
      </c>
      <c r="P78" s="16"/>
    </row>
    <row r="79" spans="1:16" ht="15" customHeight="1" x14ac:dyDescent="0.25">
      <c r="A79" s="233"/>
      <c r="B79" s="14">
        <v>46165</v>
      </c>
      <c r="C79" s="17" t="s">
        <v>19</v>
      </c>
      <c r="D79" s="15">
        <v>30</v>
      </c>
      <c r="E79" s="15">
        <v>30.4</v>
      </c>
      <c r="F79" s="15">
        <v>31</v>
      </c>
      <c r="G79" s="15">
        <v>31.1</v>
      </c>
      <c r="H79" s="15">
        <v>31.2</v>
      </c>
      <c r="I79" s="15"/>
      <c r="J79" s="15"/>
      <c r="K79" s="15"/>
      <c r="L79" s="15"/>
      <c r="M79" s="15"/>
      <c r="N79" s="15"/>
      <c r="O79" s="15"/>
      <c r="P79" s="16"/>
    </row>
    <row r="80" spans="1:16" ht="15" customHeight="1" x14ac:dyDescent="0.25">
      <c r="A80" s="234"/>
      <c r="B80" s="14">
        <v>46166</v>
      </c>
      <c r="C80" s="17" t="s">
        <v>20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6"/>
    </row>
    <row r="81" spans="1:16" ht="15" customHeight="1" x14ac:dyDescent="0.25">
      <c r="A81" s="232">
        <v>5</v>
      </c>
      <c r="B81" s="235" t="s">
        <v>0</v>
      </c>
      <c r="C81" s="235" t="s">
        <v>65</v>
      </c>
      <c r="D81" s="237" t="s">
        <v>1</v>
      </c>
      <c r="E81" s="238"/>
      <c r="F81" s="238"/>
      <c r="G81" s="238"/>
      <c r="H81" s="238"/>
      <c r="I81" s="238"/>
      <c r="J81" s="238"/>
      <c r="K81" s="238"/>
      <c r="L81" s="238"/>
      <c r="M81" s="238"/>
      <c r="N81" s="238"/>
      <c r="O81" s="239"/>
      <c r="P81" s="12" t="s">
        <v>2</v>
      </c>
    </row>
    <row r="82" spans="1:16" ht="15" customHeight="1" x14ac:dyDescent="0.25">
      <c r="A82" s="233"/>
      <c r="B82" s="236"/>
      <c r="C82" s="236"/>
      <c r="D82" s="13">
        <v>0.375</v>
      </c>
      <c r="E82" s="13">
        <v>0.45833333333333331</v>
      </c>
      <c r="F82" s="13">
        <v>0.54166666666666696</v>
      </c>
      <c r="G82" s="13">
        <v>0.625</v>
      </c>
      <c r="H82" s="13">
        <v>0.70833333333333304</v>
      </c>
      <c r="I82" s="13">
        <v>0.79166666666666696</v>
      </c>
      <c r="J82" s="13">
        <v>0.875</v>
      </c>
      <c r="K82" s="13">
        <v>0.95833333333333304</v>
      </c>
      <c r="L82" s="13">
        <v>1.0416666666666701</v>
      </c>
      <c r="M82" s="13">
        <v>1.125</v>
      </c>
      <c r="N82" s="13">
        <v>1.2083333333333299</v>
      </c>
      <c r="O82" s="13">
        <v>1.2916666666666601</v>
      </c>
      <c r="P82" s="12"/>
    </row>
    <row r="83" spans="1:16" ht="15" customHeight="1" x14ac:dyDescent="0.25">
      <c r="A83" s="233"/>
      <c r="B83" s="14">
        <v>46149</v>
      </c>
      <c r="C83" s="12" t="s">
        <v>3</v>
      </c>
      <c r="D83" s="15"/>
      <c r="E83" s="15"/>
      <c r="F83" s="15"/>
      <c r="G83" s="15"/>
      <c r="H83" s="15"/>
      <c r="I83" s="15">
        <v>32.9</v>
      </c>
      <c r="J83" s="15"/>
      <c r="K83" s="15">
        <v>32.6</v>
      </c>
      <c r="L83" s="15"/>
      <c r="M83" s="15">
        <v>32.6</v>
      </c>
      <c r="N83" s="15"/>
      <c r="O83" s="15">
        <v>32.5</v>
      </c>
      <c r="P83" s="16"/>
    </row>
    <row r="84" spans="1:16" ht="15" customHeight="1" x14ac:dyDescent="0.25">
      <c r="A84" s="233"/>
      <c r="B84" s="14">
        <v>46150</v>
      </c>
      <c r="C84" s="12" t="s">
        <v>4</v>
      </c>
      <c r="D84" s="15"/>
      <c r="E84" s="15">
        <v>33.799999999999997</v>
      </c>
      <c r="F84" s="15"/>
      <c r="G84" s="15">
        <v>33.700000000000003</v>
      </c>
      <c r="H84" s="15"/>
      <c r="I84" s="15">
        <v>33.799999999999997</v>
      </c>
      <c r="J84" s="15"/>
      <c r="K84" s="15">
        <v>33.9</v>
      </c>
      <c r="L84" s="15"/>
      <c r="M84" s="15">
        <v>33.799999999999997</v>
      </c>
      <c r="N84" s="15"/>
      <c r="O84" s="15">
        <v>33.799999999999997</v>
      </c>
      <c r="P84" s="12"/>
    </row>
    <row r="85" spans="1:16" ht="15" customHeight="1" x14ac:dyDescent="0.25">
      <c r="A85" s="233"/>
      <c r="B85" s="14">
        <v>46151</v>
      </c>
      <c r="C85" s="12" t="s">
        <v>5</v>
      </c>
      <c r="D85" s="15">
        <v>33.799999999999997</v>
      </c>
      <c r="E85" s="15">
        <v>33.6</v>
      </c>
      <c r="F85" s="15">
        <v>33.6</v>
      </c>
      <c r="G85" s="15">
        <v>33.6</v>
      </c>
      <c r="H85" s="15">
        <v>33.700000000000003</v>
      </c>
      <c r="I85" s="15">
        <v>33.799999999999997</v>
      </c>
      <c r="J85" s="15">
        <v>33.799999999999997</v>
      </c>
      <c r="K85" s="15">
        <v>33.799999999999997</v>
      </c>
      <c r="L85" s="15">
        <v>33.799999999999997</v>
      </c>
      <c r="M85" s="15">
        <v>33.700000000000003</v>
      </c>
      <c r="N85" s="15">
        <v>33.799999999999997</v>
      </c>
      <c r="O85" s="15">
        <v>33.6</v>
      </c>
      <c r="P85" s="12"/>
    </row>
    <row r="86" spans="1:16" ht="15" customHeight="1" x14ac:dyDescent="0.25">
      <c r="A86" s="233"/>
      <c r="B86" s="14">
        <v>46152</v>
      </c>
      <c r="C86" s="12" t="s">
        <v>6</v>
      </c>
      <c r="D86" s="15">
        <v>33.9</v>
      </c>
      <c r="E86" s="15">
        <v>33.6</v>
      </c>
      <c r="F86" s="15">
        <v>33.5</v>
      </c>
      <c r="G86" s="15">
        <v>33.5</v>
      </c>
      <c r="H86" s="15">
        <v>33.9</v>
      </c>
      <c r="I86" s="15">
        <v>33.799999999999997</v>
      </c>
      <c r="J86" s="15">
        <v>33.700000000000003</v>
      </c>
      <c r="K86" s="15">
        <v>33.700000000000003</v>
      </c>
      <c r="L86" s="15">
        <v>33.700000000000003</v>
      </c>
      <c r="M86" s="15">
        <v>33.799999999999997</v>
      </c>
      <c r="N86" s="15">
        <v>33.700000000000003</v>
      </c>
      <c r="O86" s="15">
        <v>34</v>
      </c>
      <c r="P86" s="12"/>
    </row>
    <row r="87" spans="1:16" ht="15" customHeight="1" x14ac:dyDescent="0.25">
      <c r="A87" s="233"/>
      <c r="B87" s="14">
        <v>46153</v>
      </c>
      <c r="C87" s="12" t="s">
        <v>7</v>
      </c>
      <c r="D87" s="15">
        <v>33.799999999999997</v>
      </c>
      <c r="E87" s="15">
        <v>34</v>
      </c>
      <c r="F87" s="15">
        <v>34</v>
      </c>
      <c r="G87" s="15">
        <v>34</v>
      </c>
      <c r="H87" s="15">
        <v>33.9</v>
      </c>
      <c r="I87" s="15">
        <v>33.200000000000003</v>
      </c>
      <c r="J87" s="15">
        <v>33.1</v>
      </c>
      <c r="K87" s="15">
        <v>32.799999999999997</v>
      </c>
      <c r="L87" s="15">
        <v>32.700000000000003</v>
      </c>
      <c r="M87" s="15">
        <v>33</v>
      </c>
      <c r="N87" s="15">
        <v>32.6</v>
      </c>
      <c r="O87" s="15">
        <v>32.9</v>
      </c>
      <c r="P87" s="12"/>
    </row>
    <row r="88" spans="1:16" ht="15" customHeight="1" x14ac:dyDescent="0.25">
      <c r="A88" s="233"/>
      <c r="B88" s="14">
        <v>46154</v>
      </c>
      <c r="C88" s="12" t="s">
        <v>8</v>
      </c>
      <c r="D88" s="15">
        <v>33</v>
      </c>
      <c r="E88" s="15">
        <v>33.200000000000003</v>
      </c>
      <c r="F88" s="15">
        <v>33.200000000000003</v>
      </c>
      <c r="G88" s="15">
        <v>33.200000000000003</v>
      </c>
      <c r="H88" s="15">
        <v>32.799999999999997</v>
      </c>
      <c r="I88" s="15">
        <v>32.9</v>
      </c>
      <c r="J88" s="15">
        <v>32.5</v>
      </c>
      <c r="K88" s="15">
        <v>32.799999999999997</v>
      </c>
      <c r="L88" s="15">
        <v>33</v>
      </c>
      <c r="M88" s="15">
        <v>32.5</v>
      </c>
      <c r="N88" s="15">
        <v>32.799999999999997</v>
      </c>
      <c r="O88" s="15">
        <v>32.5</v>
      </c>
      <c r="P88" s="12"/>
    </row>
    <row r="89" spans="1:16" ht="15" customHeight="1" x14ac:dyDescent="0.25">
      <c r="A89" s="233"/>
      <c r="B89" s="14">
        <v>46155</v>
      </c>
      <c r="C89" s="12" t="s">
        <v>9</v>
      </c>
      <c r="D89" s="15">
        <v>33</v>
      </c>
      <c r="E89" s="15">
        <v>32.799999999999997</v>
      </c>
      <c r="F89" s="15">
        <v>32.799999999999997</v>
      </c>
      <c r="G89" s="15">
        <v>32.799999999999997</v>
      </c>
      <c r="H89" s="15">
        <v>32.799999999999997</v>
      </c>
      <c r="I89" s="15">
        <v>32.5</v>
      </c>
      <c r="J89" s="15">
        <v>32.200000000000003</v>
      </c>
      <c r="K89" s="15">
        <v>32</v>
      </c>
      <c r="L89" s="15">
        <v>31.4</v>
      </c>
      <c r="M89" s="15">
        <v>31.8</v>
      </c>
      <c r="N89" s="15">
        <v>31.8</v>
      </c>
      <c r="O89" s="15">
        <v>31.8</v>
      </c>
      <c r="P89" s="12"/>
    </row>
    <row r="90" spans="1:16" ht="15" customHeight="1" x14ac:dyDescent="0.25">
      <c r="A90" s="233"/>
      <c r="B90" s="14">
        <v>46156</v>
      </c>
      <c r="C90" s="12" t="s">
        <v>10</v>
      </c>
      <c r="D90" s="15">
        <v>31.9</v>
      </c>
      <c r="E90" s="15">
        <v>32</v>
      </c>
      <c r="F90" s="15">
        <v>32</v>
      </c>
      <c r="G90" s="15">
        <v>32</v>
      </c>
      <c r="H90" s="15">
        <v>32.700000000000003</v>
      </c>
      <c r="I90" s="15">
        <v>32</v>
      </c>
      <c r="J90" s="15">
        <v>31.8</v>
      </c>
      <c r="K90" s="15">
        <v>31.6</v>
      </c>
      <c r="L90" s="15">
        <v>31.9</v>
      </c>
      <c r="M90" s="15">
        <v>31.8</v>
      </c>
      <c r="N90" s="15">
        <v>31.9</v>
      </c>
      <c r="O90" s="15">
        <v>32</v>
      </c>
      <c r="P90" s="12"/>
    </row>
    <row r="91" spans="1:16" ht="15" customHeight="1" x14ac:dyDescent="0.25">
      <c r="A91" s="233"/>
      <c r="B91" s="14">
        <v>46157</v>
      </c>
      <c r="C91" s="12" t="s">
        <v>11</v>
      </c>
      <c r="D91" s="15">
        <v>31.8</v>
      </c>
      <c r="E91" s="15">
        <v>31.6</v>
      </c>
      <c r="F91" s="15">
        <v>31.6</v>
      </c>
      <c r="G91" s="15">
        <v>31.7</v>
      </c>
      <c r="H91" s="15">
        <v>31.7</v>
      </c>
      <c r="I91" s="15">
        <v>31.6</v>
      </c>
      <c r="J91" s="15">
        <v>31.5</v>
      </c>
      <c r="K91" s="15">
        <v>31.2</v>
      </c>
      <c r="L91" s="15">
        <v>30.9</v>
      </c>
      <c r="M91" s="15">
        <v>30.5</v>
      </c>
      <c r="N91" s="15">
        <v>31</v>
      </c>
      <c r="O91" s="15">
        <v>30.9</v>
      </c>
      <c r="P91" s="12"/>
    </row>
    <row r="92" spans="1:16" ht="15" customHeight="1" x14ac:dyDescent="0.25">
      <c r="A92" s="233"/>
      <c r="B92" s="14">
        <v>46158</v>
      </c>
      <c r="C92" s="12" t="s">
        <v>12</v>
      </c>
      <c r="D92" s="15">
        <v>30.7</v>
      </c>
      <c r="E92" s="15">
        <v>30.5</v>
      </c>
      <c r="F92" s="15">
        <v>30.5</v>
      </c>
      <c r="G92" s="15">
        <v>30.5</v>
      </c>
      <c r="H92" s="15">
        <v>30.9</v>
      </c>
      <c r="I92" s="15">
        <v>31</v>
      </c>
      <c r="J92" s="15">
        <v>30.7</v>
      </c>
      <c r="K92" s="15">
        <v>30.6</v>
      </c>
      <c r="L92" s="15">
        <v>30.9</v>
      </c>
      <c r="M92" s="15">
        <v>30.7</v>
      </c>
      <c r="N92" s="15">
        <v>30.6</v>
      </c>
      <c r="O92" s="15">
        <v>30.9</v>
      </c>
      <c r="P92" s="12"/>
    </row>
    <row r="93" spans="1:16" ht="15" customHeight="1" x14ac:dyDescent="0.25">
      <c r="A93" s="233"/>
      <c r="B93" s="14">
        <v>46159</v>
      </c>
      <c r="C93" s="12" t="s">
        <v>13</v>
      </c>
      <c r="D93" s="15">
        <v>30.7</v>
      </c>
      <c r="E93" s="15">
        <v>30.7</v>
      </c>
      <c r="F93" s="15">
        <v>30.7</v>
      </c>
      <c r="G93" s="15">
        <v>30.8</v>
      </c>
      <c r="H93" s="15">
        <v>30.9</v>
      </c>
      <c r="I93" s="15">
        <v>30.9</v>
      </c>
      <c r="J93" s="15">
        <v>30.7</v>
      </c>
      <c r="K93" s="15">
        <v>30.6</v>
      </c>
      <c r="L93" s="15">
        <v>30.3</v>
      </c>
      <c r="M93" s="15">
        <v>30.1</v>
      </c>
      <c r="N93" s="15">
        <v>29.8</v>
      </c>
      <c r="O93" s="15">
        <v>29.8</v>
      </c>
      <c r="P93" s="12"/>
    </row>
    <row r="94" spans="1:16" ht="15" customHeight="1" x14ac:dyDescent="0.25">
      <c r="A94" s="233"/>
      <c r="B94" s="14">
        <v>46160</v>
      </c>
      <c r="C94" s="12" t="s">
        <v>14</v>
      </c>
      <c r="D94" s="15">
        <v>29.9</v>
      </c>
      <c r="E94" s="15">
        <v>30.2</v>
      </c>
      <c r="F94" s="15">
        <v>31</v>
      </c>
      <c r="G94" s="15">
        <v>31.4</v>
      </c>
      <c r="H94" s="15">
        <v>31.5</v>
      </c>
      <c r="I94" s="15">
        <v>31.5</v>
      </c>
      <c r="J94" s="15">
        <v>31.3</v>
      </c>
      <c r="K94" s="15">
        <v>31.1</v>
      </c>
      <c r="L94" s="15">
        <v>30.8</v>
      </c>
      <c r="M94" s="15">
        <v>30.6</v>
      </c>
      <c r="N94" s="15">
        <v>30.3</v>
      </c>
      <c r="O94" s="15">
        <v>30.1</v>
      </c>
      <c r="P94" s="12"/>
    </row>
    <row r="95" spans="1:16" ht="15" customHeight="1" x14ac:dyDescent="0.25">
      <c r="A95" s="233"/>
      <c r="B95" s="14">
        <v>46161</v>
      </c>
      <c r="C95" s="12" t="s">
        <v>15</v>
      </c>
      <c r="D95" s="15">
        <v>30</v>
      </c>
      <c r="E95" s="15">
        <v>30.1</v>
      </c>
      <c r="F95" s="15">
        <v>31</v>
      </c>
      <c r="G95" s="15">
        <v>31.3</v>
      </c>
      <c r="H95" s="15">
        <v>31.4</v>
      </c>
      <c r="I95" s="15">
        <v>31.4</v>
      </c>
      <c r="J95" s="15">
        <v>31.3</v>
      </c>
      <c r="K95" s="15">
        <v>31</v>
      </c>
      <c r="L95" s="15">
        <v>30.9</v>
      </c>
      <c r="M95" s="15">
        <v>30.8</v>
      </c>
      <c r="N95" s="15">
        <v>30.6</v>
      </c>
      <c r="O95" s="15">
        <v>30.3</v>
      </c>
      <c r="P95" s="12"/>
    </row>
    <row r="96" spans="1:16" ht="15" customHeight="1" x14ac:dyDescent="0.25">
      <c r="A96" s="233"/>
      <c r="B96" s="14">
        <v>46162</v>
      </c>
      <c r="C96" s="12" t="s">
        <v>16</v>
      </c>
      <c r="D96" s="15">
        <v>30.2</v>
      </c>
      <c r="E96" s="15">
        <v>30.2</v>
      </c>
      <c r="F96" s="15">
        <v>30.5</v>
      </c>
      <c r="G96" s="15">
        <v>30.8</v>
      </c>
      <c r="H96" s="15">
        <v>31</v>
      </c>
      <c r="I96" s="15">
        <v>31</v>
      </c>
      <c r="J96" s="15">
        <v>30.8</v>
      </c>
      <c r="K96" s="15">
        <v>30.7</v>
      </c>
      <c r="L96" s="15">
        <v>30.2</v>
      </c>
      <c r="M96" s="15">
        <v>30.2</v>
      </c>
      <c r="N96" s="15">
        <v>30.1</v>
      </c>
      <c r="O96" s="15">
        <v>29.7</v>
      </c>
      <c r="P96" s="16"/>
    </row>
    <row r="97" spans="1:16" ht="15" customHeight="1" x14ac:dyDescent="0.25">
      <c r="A97" s="233"/>
      <c r="B97" s="14">
        <v>46163</v>
      </c>
      <c r="C97" s="12" t="s">
        <v>17</v>
      </c>
      <c r="D97" s="15">
        <v>29.8</v>
      </c>
      <c r="E97" s="15">
        <v>30</v>
      </c>
      <c r="F97" s="15">
        <v>30.3</v>
      </c>
      <c r="G97" s="15">
        <v>30.6</v>
      </c>
      <c r="H97" s="15">
        <v>30.6</v>
      </c>
      <c r="I97" s="15">
        <v>30.6</v>
      </c>
      <c r="J97" s="15">
        <v>30.6</v>
      </c>
      <c r="K97" s="15">
        <v>30.5</v>
      </c>
      <c r="L97" s="15">
        <v>30.3</v>
      </c>
      <c r="M97" s="15">
        <v>30.2</v>
      </c>
      <c r="N97" s="15">
        <v>30.1</v>
      </c>
      <c r="O97" s="15">
        <v>29.9</v>
      </c>
      <c r="P97" s="16"/>
    </row>
    <row r="98" spans="1:16" ht="15" customHeight="1" x14ac:dyDescent="0.25">
      <c r="A98" s="233"/>
      <c r="B98" s="14">
        <v>46164</v>
      </c>
      <c r="C98" s="17" t="s">
        <v>18</v>
      </c>
      <c r="D98" s="15">
        <v>29.6</v>
      </c>
      <c r="E98" s="15">
        <v>29.9</v>
      </c>
      <c r="F98" s="15">
        <v>30.5</v>
      </c>
      <c r="G98" s="15">
        <v>30.8</v>
      </c>
      <c r="H98" s="15">
        <v>30.9</v>
      </c>
      <c r="I98" s="15">
        <v>30.9</v>
      </c>
      <c r="J98" s="15">
        <v>30.8</v>
      </c>
      <c r="K98" s="15">
        <v>30.7</v>
      </c>
      <c r="L98" s="15">
        <v>30.4</v>
      </c>
      <c r="M98" s="15">
        <v>30.2</v>
      </c>
      <c r="N98" s="15">
        <v>29.9</v>
      </c>
      <c r="O98" s="15">
        <v>29.7</v>
      </c>
      <c r="P98" s="16"/>
    </row>
    <row r="99" spans="1:16" ht="15" customHeight="1" x14ac:dyDescent="0.25">
      <c r="A99" s="233"/>
      <c r="B99" s="14">
        <v>46165</v>
      </c>
      <c r="C99" s="17" t="s">
        <v>19</v>
      </c>
      <c r="D99" s="15">
        <v>30</v>
      </c>
      <c r="E99" s="15">
        <v>30.4</v>
      </c>
      <c r="F99" s="15">
        <v>30.9</v>
      </c>
      <c r="G99" s="15">
        <v>31</v>
      </c>
      <c r="H99" s="15">
        <v>31</v>
      </c>
      <c r="I99" s="15"/>
      <c r="J99" s="15"/>
      <c r="K99" s="15"/>
      <c r="L99" s="15"/>
      <c r="M99" s="15"/>
      <c r="N99" s="15"/>
      <c r="O99" s="15"/>
      <c r="P99" s="16"/>
    </row>
    <row r="100" spans="1:16" ht="15" customHeight="1" x14ac:dyDescent="0.25">
      <c r="A100" s="234"/>
      <c r="B100" s="14">
        <v>46166</v>
      </c>
      <c r="C100" s="17" t="s">
        <v>20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6"/>
    </row>
    <row r="101" spans="1:16" ht="15" customHeight="1" x14ac:dyDescent="0.25">
      <c r="A101" s="232">
        <v>6</v>
      </c>
      <c r="B101" s="235" t="s">
        <v>0</v>
      </c>
      <c r="C101" s="235" t="s">
        <v>65</v>
      </c>
      <c r="D101" s="237" t="s">
        <v>1</v>
      </c>
      <c r="E101" s="238"/>
      <c r="F101" s="238"/>
      <c r="G101" s="238"/>
      <c r="H101" s="238"/>
      <c r="I101" s="238"/>
      <c r="J101" s="238"/>
      <c r="K101" s="238"/>
      <c r="L101" s="238"/>
      <c r="M101" s="238"/>
      <c r="N101" s="238"/>
      <c r="O101" s="239"/>
      <c r="P101" s="12" t="s">
        <v>2</v>
      </c>
    </row>
    <row r="102" spans="1:16" ht="15" customHeight="1" x14ac:dyDescent="0.25">
      <c r="A102" s="233"/>
      <c r="B102" s="236"/>
      <c r="C102" s="236"/>
      <c r="D102" s="13">
        <v>0.375</v>
      </c>
      <c r="E102" s="13">
        <v>0.45833333333333331</v>
      </c>
      <c r="F102" s="13">
        <v>0.54166666666666696</v>
      </c>
      <c r="G102" s="13">
        <v>0.625</v>
      </c>
      <c r="H102" s="13">
        <v>0.70833333333333304</v>
      </c>
      <c r="I102" s="13">
        <v>0.79166666666666696</v>
      </c>
      <c r="J102" s="13">
        <v>0.875</v>
      </c>
      <c r="K102" s="13">
        <v>0.95833333333333304</v>
      </c>
      <c r="L102" s="13">
        <v>1.0416666666666701</v>
      </c>
      <c r="M102" s="13">
        <v>1.125</v>
      </c>
      <c r="N102" s="13">
        <v>1.2083333333333299</v>
      </c>
      <c r="O102" s="13">
        <v>1.2916666666666601</v>
      </c>
      <c r="P102" s="12"/>
    </row>
    <row r="103" spans="1:16" ht="15" customHeight="1" x14ac:dyDescent="0.25">
      <c r="A103" s="233"/>
      <c r="B103" s="14">
        <v>46149</v>
      </c>
      <c r="C103" s="12" t="s">
        <v>3</v>
      </c>
      <c r="D103" s="15"/>
      <c r="E103" s="15"/>
      <c r="F103" s="15"/>
      <c r="G103" s="15"/>
      <c r="H103" s="15"/>
      <c r="I103" s="15">
        <v>33</v>
      </c>
      <c r="J103" s="15"/>
      <c r="K103" s="15">
        <v>32.9</v>
      </c>
      <c r="L103" s="15"/>
      <c r="M103" s="15">
        <v>33</v>
      </c>
      <c r="N103" s="15"/>
      <c r="O103" s="15">
        <v>32.700000000000003</v>
      </c>
      <c r="P103" s="16"/>
    </row>
    <row r="104" spans="1:16" ht="15" customHeight="1" x14ac:dyDescent="0.25">
      <c r="A104" s="233"/>
      <c r="B104" s="14">
        <v>46150</v>
      </c>
      <c r="C104" s="12" t="s">
        <v>4</v>
      </c>
      <c r="D104" s="15"/>
      <c r="E104" s="15">
        <v>34</v>
      </c>
      <c r="F104" s="15"/>
      <c r="G104" s="15">
        <v>34</v>
      </c>
      <c r="H104" s="15"/>
      <c r="I104" s="15">
        <v>34</v>
      </c>
      <c r="J104" s="15"/>
      <c r="K104" s="15">
        <v>34</v>
      </c>
      <c r="L104" s="15"/>
      <c r="M104" s="15">
        <v>33.799999999999997</v>
      </c>
      <c r="N104" s="15"/>
      <c r="O104" s="15">
        <v>34</v>
      </c>
      <c r="P104" s="12"/>
    </row>
    <row r="105" spans="1:16" ht="15" customHeight="1" x14ac:dyDescent="0.25">
      <c r="A105" s="233"/>
      <c r="B105" s="14">
        <v>46151</v>
      </c>
      <c r="C105" s="12" t="s">
        <v>5</v>
      </c>
      <c r="D105" s="15">
        <v>33.9</v>
      </c>
      <c r="E105" s="15">
        <v>34</v>
      </c>
      <c r="F105" s="15">
        <v>34</v>
      </c>
      <c r="G105" s="15">
        <v>34</v>
      </c>
      <c r="H105" s="15">
        <v>34</v>
      </c>
      <c r="I105" s="15">
        <v>34</v>
      </c>
      <c r="J105" s="15">
        <v>33.6</v>
      </c>
      <c r="K105" s="15">
        <v>34</v>
      </c>
      <c r="L105" s="15">
        <v>33.9</v>
      </c>
      <c r="M105" s="15">
        <v>34</v>
      </c>
      <c r="N105" s="15">
        <v>33.799999999999997</v>
      </c>
      <c r="O105" s="15">
        <v>34</v>
      </c>
      <c r="P105" s="12"/>
    </row>
    <row r="106" spans="1:16" ht="15" customHeight="1" x14ac:dyDescent="0.25">
      <c r="A106" s="233"/>
      <c r="B106" s="14">
        <v>46152</v>
      </c>
      <c r="C106" s="12" t="s">
        <v>6</v>
      </c>
      <c r="D106" s="15">
        <v>33.799999999999997</v>
      </c>
      <c r="E106" s="15">
        <v>34</v>
      </c>
      <c r="F106" s="15">
        <v>34</v>
      </c>
      <c r="G106" s="15">
        <v>34</v>
      </c>
      <c r="H106" s="15">
        <v>34</v>
      </c>
      <c r="I106" s="15">
        <v>34</v>
      </c>
      <c r="J106" s="15">
        <v>34</v>
      </c>
      <c r="K106" s="15">
        <v>34</v>
      </c>
      <c r="L106" s="15">
        <v>34</v>
      </c>
      <c r="M106" s="15">
        <v>33.9</v>
      </c>
      <c r="N106" s="15">
        <v>33.9</v>
      </c>
      <c r="O106" s="15">
        <v>34</v>
      </c>
      <c r="P106" s="12"/>
    </row>
    <row r="107" spans="1:16" ht="15" customHeight="1" x14ac:dyDescent="0.25">
      <c r="A107" s="233"/>
      <c r="B107" s="14">
        <v>46153</v>
      </c>
      <c r="C107" s="12" t="s">
        <v>7</v>
      </c>
      <c r="D107" s="15">
        <v>33.799999999999997</v>
      </c>
      <c r="E107" s="15">
        <v>34</v>
      </c>
      <c r="F107" s="15">
        <v>33.9</v>
      </c>
      <c r="G107" s="15">
        <v>34</v>
      </c>
      <c r="H107" s="15">
        <v>33.9</v>
      </c>
      <c r="I107" s="15">
        <v>33.5</v>
      </c>
      <c r="J107" s="15">
        <v>33.200000000000003</v>
      </c>
      <c r="K107" s="15">
        <v>32.9</v>
      </c>
      <c r="L107" s="15">
        <v>33</v>
      </c>
      <c r="M107" s="15">
        <v>33</v>
      </c>
      <c r="N107" s="15">
        <v>32.9</v>
      </c>
      <c r="O107" s="15">
        <v>32.799999999999997</v>
      </c>
      <c r="P107" s="12"/>
    </row>
    <row r="108" spans="1:16" ht="15" customHeight="1" x14ac:dyDescent="0.25">
      <c r="A108" s="233"/>
      <c r="B108" s="14">
        <v>46154</v>
      </c>
      <c r="C108" s="12" t="s">
        <v>8</v>
      </c>
      <c r="D108" s="15">
        <v>32.799999999999997</v>
      </c>
      <c r="E108" s="15">
        <v>32.9</v>
      </c>
      <c r="F108" s="15">
        <v>32.9</v>
      </c>
      <c r="G108" s="15">
        <v>33</v>
      </c>
      <c r="H108" s="15">
        <v>32.799999999999997</v>
      </c>
      <c r="I108" s="15">
        <v>32.799999999999997</v>
      </c>
      <c r="J108" s="15">
        <v>33</v>
      </c>
      <c r="K108" s="15">
        <v>32.9</v>
      </c>
      <c r="L108" s="15">
        <v>32.799999999999997</v>
      </c>
      <c r="M108" s="15">
        <v>32.9</v>
      </c>
      <c r="N108" s="15">
        <v>32.9</v>
      </c>
      <c r="O108" s="15">
        <v>33.200000000000003</v>
      </c>
      <c r="P108" s="12"/>
    </row>
    <row r="109" spans="1:16" ht="15" customHeight="1" x14ac:dyDescent="0.25">
      <c r="A109" s="233"/>
      <c r="B109" s="14">
        <v>46155</v>
      </c>
      <c r="C109" s="12" t="s">
        <v>9</v>
      </c>
      <c r="D109" s="15">
        <v>33</v>
      </c>
      <c r="E109" s="15">
        <v>33</v>
      </c>
      <c r="F109" s="15">
        <v>33</v>
      </c>
      <c r="G109" s="15">
        <v>33</v>
      </c>
      <c r="H109" s="15">
        <v>33</v>
      </c>
      <c r="I109" s="15">
        <v>32.700000000000003</v>
      </c>
      <c r="J109" s="15">
        <v>32.4</v>
      </c>
      <c r="K109" s="15">
        <v>32.200000000000003</v>
      </c>
      <c r="L109" s="15">
        <v>32</v>
      </c>
      <c r="M109" s="15">
        <v>32</v>
      </c>
      <c r="N109" s="15">
        <v>32</v>
      </c>
      <c r="O109" s="15">
        <v>31.9</v>
      </c>
      <c r="P109" s="12"/>
    </row>
    <row r="110" spans="1:16" ht="15" customHeight="1" x14ac:dyDescent="0.25">
      <c r="A110" s="233"/>
      <c r="B110" s="14">
        <v>46156</v>
      </c>
      <c r="C110" s="12" t="s">
        <v>10</v>
      </c>
      <c r="D110" s="15">
        <v>32</v>
      </c>
      <c r="E110" s="15">
        <v>32</v>
      </c>
      <c r="F110" s="15">
        <v>32.200000000000003</v>
      </c>
      <c r="G110" s="15">
        <v>32.4</v>
      </c>
      <c r="H110" s="15">
        <v>32.200000000000003</v>
      </c>
      <c r="I110" s="15">
        <v>32</v>
      </c>
      <c r="J110" s="15">
        <v>31.9</v>
      </c>
      <c r="K110" s="15">
        <v>31.9</v>
      </c>
      <c r="L110" s="15">
        <v>32</v>
      </c>
      <c r="M110" s="15">
        <v>32</v>
      </c>
      <c r="N110" s="15">
        <v>32</v>
      </c>
      <c r="O110" s="15">
        <v>31.9</v>
      </c>
      <c r="P110" s="12"/>
    </row>
    <row r="111" spans="1:16" ht="15" customHeight="1" x14ac:dyDescent="0.25">
      <c r="A111" s="233"/>
      <c r="B111" s="14">
        <v>46157</v>
      </c>
      <c r="C111" s="12" t="s">
        <v>11</v>
      </c>
      <c r="D111" s="15">
        <v>32</v>
      </c>
      <c r="E111" s="15">
        <v>32</v>
      </c>
      <c r="F111" s="15">
        <v>32</v>
      </c>
      <c r="G111" s="15">
        <v>32.1</v>
      </c>
      <c r="H111" s="15">
        <v>32.1</v>
      </c>
      <c r="I111" s="15">
        <v>31.9</v>
      </c>
      <c r="J111" s="15">
        <v>31.5</v>
      </c>
      <c r="K111" s="15">
        <v>31.3</v>
      </c>
      <c r="L111" s="15">
        <v>30.9</v>
      </c>
      <c r="M111" s="15">
        <v>30.9</v>
      </c>
      <c r="N111" s="15">
        <v>31</v>
      </c>
      <c r="O111" s="15">
        <v>30.9</v>
      </c>
      <c r="P111" s="12"/>
    </row>
    <row r="112" spans="1:16" ht="15" customHeight="1" x14ac:dyDescent="0.25">
      <c r="A112" s="233"/>
      <c r="B112" s="14">
        <v>46158</v>
      </c>
      <c r="C112" s="12" t="s">
        <v>12</v>
      </c>
      <c r="D112" s="15">
        <v>31</v>
      </c>
      <c r="E112" s="15">
        <v>30.9</v>
      </c>
      <c r="F112" s="15">
        <v>30.9</v>
      </c>
      <c r="G112" s="15">
        <v>30.9</v>
      </c>
      <c r="H112" s="15">
        <v>31</v>
      </c>
      <c r="I112" s="15">
        <v>31</v>
      </c>
      <c r="J112" s="15">
        <v>31</v>
      </c>
      <c r="K112" s="15">
        <v>30.9</v>
      </c>
      <c r="L112" s="15">
        <v>30.9</v>
      </c>
      <c r="M112" s="15">
        <v>31</v>
      </c>
      <c r="N112" s="15">
        <v>31</v>
      </c>
      <c r="O112" s="15">
        <v>30.9</v>
      </c>
      <c r="P112" s="12"/>
    </row>
    <row r="113" spans="1:16" ht="15" customHeight="1" x14ac:dyDescent="0.25">
      <c r="A113" s="233"/>
      <c r="B113" s="14">
        <v>46159</v>
      </c>
      <c r="C113" s="12" t="s">
        <v>13</v>
      </c>
      <c r="D113" s="15">
        <v>31</v>
      </c>
      <c r="E113" s="15">
        <v>31</v>
      </c>
      <c r="F113" s="15">
        <v>31</v>
      </c>
      <c r="G113" s="15">
        <v>31.2</v>
      </c>
      <c r="H113" s="15">
        <v>31.5</v>
      </c>
      <c r="I113" s="15">
        <v>31.4</v>
      </c>
      <c r="J113" s="15">
        <v>31.3</v>
      </c>
      <c r="K113" s="15">
        <v>30.9</v>
      </c>
      <c r="L113" s="15">
        <v>30.6</v>
      </c>
      <c r="M113" s="15">
        <v>30.7</v>
      </c>
      <c r="N113" s="15">
        <v>30.1</v>
      </c>
      <c r="O113" s="15">
        <v>30.1</v>
      </c>
      <c r="P113" s="12"/>
    </row>
    <row r="114" spans="1:16" ht="15" customHeight="1" x14ac:dyDescent="0.25">
      <c r="A114" s="233"/>
      <c r="B114" s="14">
        <v>46160</v>
      </c>
      <c r="C114" s="12" t="s">
        <v>14</v>
      </c>
      <c r="D114" s="15">
        <v>29.9</v>
      </c>
      <c r="E114" s="15">
        <v>30</v>
      </c>
      <c r="F114" s="15">
        <v>30.4</v>
      </c>
      <c r="G114" s="15">
        <v>30.5</v>
      </c>
      <c r="H114" s="15">
        <v>30.6</v>
      </c>
      <c r="I114" s="15">
        <v>30.6</v>
      </c>
      <c r="J114" s="15">
        <v>30.6</v>
      </c>
      <c r="K114" s="15">
        <v>30.6</v>
      </c>
      <c r="L114" s="15">
        <v>30.4</v>
      </c>
      <c r="M114" s="15">
        <v>30.2</v>
      </c>
      <c r="N114" s="15">
        <v>30.1</v>
      </c>
      <c r="O114" s="15">
        <v>30</v>
      </c>
      <c r="P114" s="12"/>
    </row>
    <row r="115" spans="1:16" ht="15" customHeight="1" x14ac:dyDescent="0.25">
      <c r="A115" s="233"/>
      <c r="B115" s="14">
        <v>46161</v>
      </c>
      <c r="C115" s="12" t="s">
        <v>15</v>
      </c>
      <c r="D115" s="15">
        <v>29.7</v>
      </c>
      <c r="E115" s="15">
        <v>29.7</v>
      </c>
      <c r="F115" s="15">
        <v>30</v>
      </c>
      <c r="G115" s="15">
        <v>30.4</v>
      </c>
      <c r="H115" s="15">
        <v>31.2</v>
      </c>
      <c r="I115" s="15">
        <v>31.2</v>
      </c>
      <c r="J115" s="15">
        <v>31.2</v>
      </c>
      <c r="K115" s="15">
        <v>30.9</v>
      </c>
      <c r="L115" s="15">
        <v>30.9</v>
      </c>
      <c r="M115" s="15">
        <v>30.8</v>
      </c>
      <c r="N115" s="15">
        <v>30.3</v>
      </c>
      <c r="O115" s="15">
        <v>29.9</v>
      </c>
      <c r="P115" s="12"/>
    </row>
    <row r="116" spans="1:16" ht="15" customHeight="1" x14ac:dyDescent="0.25">
      <c r="A116" s="233"/>
      <c r="B116" s="14">
        <v>46162</v>
      </c>
      <c r="C116" s="12" t="s">
        <v>16</v>
      </c>
      <c r="D116" s="15">
        <v>29.9</v>
      </c>
      <c r="E116" s="15">
        <v>29.9</v>
      </c>
      <c r="F116" s="15">
        <v>30</v>
      </c>
      <c r="G116" s="15">
        <v>30.4</v>
      </c>
      <c r="H116" s="15">
        <v>31</v>
      </c>
      <c r="I116" s="15">
        <v>30.5</v>
      </c>
      <c r="J116" s="15">
        <v>30.5</v>
      </c>
      <c r="K116" s="15">
        <v>30.5</v>
      </c>
      <c r="L116" s="15">
        <v>30.1</v>
      </c>
      <c r="M116" s="15">
        <v>30.1</v>
      </c>
      <c r="N116" s="15">
        <v>30.1</v>
      </c>
      <c r="O116" s="15">
        <v>30.1</v>
      </c>
      <c r="P116" s="16"/>
    </row>
    <row r="117" spans="1:16" ht="15" customHeight="1" x14ac:dyDescent="0.25">
      <c r="A117" s="233"/>
      <c r="B117" s="14">
        <v>46163</v>
      </c>
      <c r="C117" s="12" t="s">
        <v>17</v>
      </c>
      <c r="D117" s="15">
        <v>30.2</v>
      </c>
      <c r="E117" s="15">
        <v>30.4</v>
      </c>
      <c r="F117" s="15">
        <v>30.5</v>
      </c>
      <c r="G117" s="15">
        <v>30.9</v>
      </c>
      <c r="H117" s="15">
        <v>30.6</v>
      </c>
      <c r="I117" s="15">
        <v>30.7</v>
      </c>
      <c r="J117" s="15">
        <v>30.7</v>
      </c>
      <c r="K117" s="15">
        <v>30.7</v>
      </c>
      <c r="L117" s="15">
        <v>30.5</v>
      </c>
      <c r="M117" s="15">
        <v>30.4</v>
      </c>
      <c r="N117" s="15">
        <v>30.1</v>
      </c>
      <c r="O117" s="15">
        <v>29.6</v>
      </c>
      <c r="P117" s="16"/>
    </row>
    <row r="118" spans="1:16" ht="15" customHeight="1" x14ac:dyDescent="0.25">
      <c r="A118" s="233"/>
      <c r="B118" s="14">
        <v>46164</v>
      </c>
      <c r="C118" s="17" t="s">
        <v>18</v>
      </c>
      <c r="D118" s="15">
        <v>29.6</v>
      </c>
      <c r="E118" s="15">
        <v>29.7</v>
      </c>
      <c r="F118" s="15">
        <v>30</v>
      </c>
      <c r="G118" s="15">
        <v>30.3</v>
      </c>
      <c r="H118" s="15">
        <v>30.6</v>
      </c>
      <c r="I118" s="15">
        <v>30.9</v>
      </c>
      <c r="J118" s="15">
        <v>30.9</v>
      </c>
      <c r="K118" s="15">
        <v>30.7</v>
      </c>
      <c r="L118" s="15">
        <v>30</v>
      </c>
      <c r="M118" s="15">
        <v>30</v>
      </c>
      <c r="N118" s="15">
        <v>29.7</v>
      </c>
      <c r="O118" s="15">
        <v>30</v>
      </c>
      <c r="P118" s="16"/>
    </row>
    <row r="119" spans="1:16" ht="15" customHeight="1" x14ac:dyDescent="0.25">
      <c r="A119" s="233"/>
      <c r="B119" s="14">
        <v>46165</v>
      </c>
      <c r="C119" s="17" t="s">
        <v>19</v>
      </c>
      <c r="D119" s="15">
        <v>29.7</v>
      </c>
      <c r="E119" s="15">
        <v>29.8</v>
      </c>
      <c r="F119" s="15">
        <v>29.9</v>
      </c>
      <c r="G119" s="15">
        <v>30</v>
      </c>
      <c r="H119" s="15">
        <v>30.2</v>
      </c>
      <c r="I119" s="15"/>
      <c r="J119" s="15"/>
      <c r="K119" s="15"/>
      <c r="L119" s="15"/>
      <c r="M119" s="15"/>
      <c r="N119" s="15"/>
      <c r="O119" s="15"/>
      <c r="P119" s="16"/>
    </row>
    <row r="120" spans="1:16" ht="15" customHeight="1" x14ac:dyDescent="0.25">
      <c r="A120" s="234"/>
      <c r="B120" s="14">
        <v>46166</v>
      </c>
      <c r="C120" s="17" t="s">
        <v>20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6"/>
    </row>
    <row r="121" spans="1:16" ht="15" customHeight="1" x14ac:dyDescent="0.25">
      <c r="A121" s="232">
        <v>7</v>
      </c>
      <c r="B121" s="235" t="s">
        <v>0</v>
      </c>
      <c r="C121" s="235" t="s">
        <v>65</v>
      </c>
      <c r="D121" s="237" t="s">
        <v>1</v>
      </c>
      <c r="E121" s="238"/>
      <c r="F121" s="238"/>
      <c r="G121" s="238"/>
      <c r="H121" s="238"/>
      <c r="I121" s="238"/>
      <c r="J121" s="238"/>
      <c r="K121" s="238"/>
      <c r="L121" s="238"/>
      <c r="M121" s="238"/>
      <c r="N121" s="238"/>
      <c r="O121" s="239"/>
      <c r="P121" s="12" t="s">
        <v>2</v>
      </c>
    </row>
    <row r="122" spans="1:16" ht="15" customHeight="1" x14ac:dyDescent="0.25">
      <c r="A122" s="233"/>
      <c r="B122" s="236"/>
      <c r="C122" s="236"/>
      <c r="D122" s="13">
        <v>0.375</v>
      </c>
      <c r="E122" s="13">
        <v>0.45833333333333331</v>
      </c>
      <c r="F122" s="13">
        <v>0.54166666666666696</v>
      </c>
      <c r="G122" s="13">
        <v>0.625</v>
      </c>
      <c r="H122" s="13">
        <v>0.70833333333333304</v>
      </c>
      <c r="I122" s="13">
        <v>0.79166666666666696</v>
      </c>
      <c r="J122" s="13">
        <v>0.875</v>
      </c>
      <c r="K122" s="13">
        <v>0.95833333333333304</v>
      </c>
      <c r="L122" s="13">
        <v>1.0416666666666701</v>
      </c>
      <c r="M122" s="13">
        <v>1.125</v>
      </c>
      <c r="N122" s="13">
        <v>1.2083333333333299</v>
      </c>
      <c r="O122" s="13">
        <v>1.2916666666666601</v>
      </c>
      <c r="P122" s="12"/>
    </row>
    <row r="123" spans="1:16" ht="15" customHeight="1" x14ac:dyDescent="0.25">
      <c r="A123" s="233"/>
      <c r="B123" s="14">
        <v>46149</v>
      </c>
      <c r="C123" s="12" t="s">
        <v>3</v>
      </c>
      <c r="D123" s="15"/>
      <c r="E123" s="15"/>
      <c r="F123" s="15"/>
      <c r="G123" s="15"/>
      <c r="H123" s="15"/>
      <c r="I123" s="15">
        <v>32.799999999999997</v>
      </c>
      <c r="J123" s="15"/>
      <c r="K123" s="15">
        <v>33</v>
      </c>
      <c r="L123" s="15"/>
      <c r="M123" s="15">
        <v>32.9</v>
      </c>
      <c r="N123" s="15"/>
      <c r="O123" s="15">
        <v>32.799999999999997</v>
      </c>
      <c r="P123" s="16"/>
    </row>
    <row r="124" spans="1:16" ht="15" customHeight="1" x14ac:dyDescent="0.25">
      <c r="A124" s="233"/>
      <c r="B124" s="14">
        <v>46150</v>
      </c>
      <c r="C124" s="12" t="s">
        <v>4</v>
      </c>
      <c r="D124" s="15"/>
      <c r="E124" s="15">
        <v>33.6</v>
      </c>
      <c r="F124" s="15"/>
      <c r="G124" s="15">
        <v>33.6</v>
      </c>
      <c r="H124" s="15"/>
      <c r="I124" s="15">
        <v>34</v>
      </c>
      <c r="J124" s="15"/>
      <c r="K124" s="15">
        <v>34</v>
      </c>
      <c r="L124" s="15"/>
      <c r="M124" s="15">
        <v>34</v>
      </c>
      <c r="N124" s="15"/>
      <c r="O124" s="15">
        <v>33.6</v>
      </c>
      <c r="P124" s="12"/>
    </row>
    <row r="125" spans="1:16" ht="15" customHeight="1" x14ac:dyDescent="0.25">
      <c r="A125" s="233"/>
      <c r="B125" s="14">
        <v>46151</v>
      </c>
      <c r="C125" s="12" t="s">
        <v>5</v>
      </c>
      <c r="D125" s="15">
        <v>34</v>
      </c>
      <c r="E125" s="15">
        <v>33.799999999999997</v>
      </c>
      <c r="F125" s="15">
        <v>33.700000000000003</v>
      </c>
      <c r="G125" s="15">
        <v>33.799999999999997</v>
      </c>
      <c r="H125" s="15">
        <v>33.6</v>
      </c>
      <c r="I125" s="15">
        <v>34</v>
      </c>
      <c r="J125" s="15">
        <v>33.6</v>
      </c>
      <c r="K125" s="15">
        <v>34</v>
      </c>
      <c r="L125" s="15">
        <v>33.6</v>
      </c>
      <c r="M125" s="15">
        <v>34</v>
      </c>
      <c r="N125" s="15">
        <v>33.6</v>
      </c>
      <c r="O125" s="15">
        <v>34</v>
      </c>
      <c r="P125" s="12"/>
    </row>
    <row r="126" spans="1:16" ht="15" customHeight="1" x14ac:dyDescent="0.25">
      <c r="A126" s="233"/>
      <c r="B126" s="14">
        <v>46152</v>
      </c>
      <c r="C126" s="12" t="s">
        <v>6</v>
      </c>
      <c r="D126" s="15">
        <v>33.6</v>
      </c>
      <c r="E126" s="15">
        <v>34</v>
      </c>
      <c r="F126" s="15">
        <v>34</v>
      </c>
      <c r="G126" s="15">
        <v>34</v>
      </c>
      <c r="H126" s="15">
        <v>34</v>
      </c>
      <c r="I126" s="15">
        <v>33.700000000000003</v>
      </c>
      <c r="J126" s="15">
        <v>33.6</v>
      </c>
      <c r="K126" s="15">
        <v>33.700000000000003</v>
      </c>
      <c r="L126" s="15">
        <v>33.9</v>
      </c>
      <c r="M126" s="15">
        <v>34</v>
      </c>
      <c r="N126" s="15">
        <v>33.6</v>
      </c>
      <c r="O126" s="15">
        <v>33.5</v>
      </c>
      <c r="P126" s="12"/>
    </row>
    <row r="127" spans="1:16" ht="15" customHeight="1" x14ac:dyDescent="0.25">
      <c r="A127" s="233"/>
      <c r="B127" s="14">
        <v>46153</v>
      </c>
      <c r="C127" s="12" t="s">
        <v>7</v>
      </c>
      <c r="D127" s="15">
        <v>34</v>
      </c>
      <c r="E127" s="15">
        <v>33.6</v>
      </c>
      <c r="F127" s="15">
        <v>33.6</v>
      </c>
      <c r="G127" s="15">
        <v>33.9</v>
      </c>
      <c r="H127" s="15">
        <v>33.799999999999997</v>
      </c>
      <c r="I127" s="15">
        <v>33.4</v>
      </c>
      <c r="J127" s="15">
        <v>33.200000000000003</v>
      </c>
      <c r="K127" s="15">
        <v>32.9</v>
      </c>
      <c r="L127" s="15">
        <v>32.6</v>
      </c>
      <c r="M127" s="15">
        <v>32.9</v>
      </c>
      <c r="N127" s="15">
        <v>33</v>
      </c>
      <c r="O127" s="15">
        <v>32.700000000000003</v>
      </c>
      <c r="P127" s="12"/>
    </row>
    <row r="128" spans="1:16" ht="15" customHeight="1" x14ac:dyDescent="0.25">
      <c r="A128" s="233"/>
      <c r="B128" s="14">
        <v>46154</v>
      </c>
      <c r="C128" s="12" t="s">
        <v>8</v>
      </c>
      <c r="D128" s="15">
        <v>33</v>
      </c>
      <c r="E128" s="15">
        <v>32.700000000000003</v>
      </c>
      <c r="F128" s="15">
        <v>32.700000000000003</v>
      </c>
      <c r="G128" s="15">
        <v>32.700000000000003</v>
      </c>
      <c r="H128" s="15">
        <v>32.700000000000003</v>
      </c>
      <c r="I128" s="15">
        <v>32.9</v>
      </c>
      <c r="J128" s="15">
        <v>33</v>
      </c>
      <c r="K128" s="15">
        <v>33</v>
      </c>
      <c r="L128" s="15">
        <v>32.9</v>
      </c>
      <c r="M128" s="15">
        <v>33</v>
      </c>
      <c r="N128" s="15">
        <v>32.9</v>
      </c>
      <c r="O128" s="15">
        <v>32.700000000000003</v>
      </c>
      <c r="P128" s="12"/>
    </row>
    <row r="129" spans="1:16" ht="15" customHeight="1" x14ac:dyDescent="0.25">
      <c r="A129" s="233"/>
      <c r="B129" s="14">
        <v>46155</v>
      </c>
      <c r="C129" s="12" t="s">
        <v>9</v>
      </c>
      <c r="D129" s="15">
        <v>33</v>
      </c>
      <c r="E129" s="15">
        <v>32.700000000000003</v>
      </c>
      <c r="F129" s="15">
        <v>32.700000000000003</v>
      </c>
      <c r="G129" s="15">
        <v>32.700000000000003</v>
      </c>
      <c r="H129" s="15">
        <v>32.5</v>
      </c>
      <c r="I129" s="15">
        <v>32</v>
      </c>
      <c r="J129" s="15">
        <v>314.7</v>
      </c>
      <c r="K129" s="15">
        <v>32</v>
      </c>
      <c r="L129" s="15">
        <v>31.7</v>
      </c>
      <c r="M129" s="15">
        <v>31.5</v>
      </c>
      <c r="N129" s="15">
        <v>31.8</v>
      </c>
      <c r="O129" s="15">
        <v>32</v>
      </c>
      <c r="P129" s="12"/>
    </row>
    <row r="130" spans="1:16" ht="15" customHeight="1" x14ac:dyDescent="0.25">
      <c r="A130" s="233"/>
      <c r="B130" s="14">
        <v>46156</v>
      </c>
      <c r="C130" s="12" t="s">
        <v>10</v>
      </c>
      <c r="D130" s="15">
        <v>31.7</v>
      </c>
      <c r="E130" s="15">
        <v>32</v>
      </c>
      <c r="F130" s="15">
        <v>32.299999999999997</v>
      </c>
      <c r="G130" s="15">
        <v>32.5</v>
      </c>
      <c r="H130" s="15">
        <v>32.700000000000003</v>
      </c>
      <c r="I130" s="15">
        <v>32.200000000000003</v>
      </c>
      <c r="J130" s="15">
        <v>31.9</v>
      </c>
      <c r="K130" s="15">
        <v>31.5</v>
      </c>
      <c r="L130" s="15">
        <v>31.7</v>
      </c>
      <c r="M130" s="15">
        <v>32</v>
      </c>
      <c r="N130" s="15">
        <v>31.6</v>
      </c>
      <c r="O130" s="15">
        <v>31.7</v>
      </c>
      <c r="P130" s="12"/>
    </row>
    <row r="131" spans="1:16" ht="15" customHeight="1" x14ac:dyDescent="0.25">
      <c r="A131" s="233"/>
      <c r="B131" s="14">
        <v>46157</v>
      </c>
      <c r="C131" s="12" t="s">
        <v>11</v>
      </c>
      <c r="D131" s="15">
        <v>32</v>
      </c>
      <c r="E131" s="15">
        <v>32</v>
      </c>
      <c r="F131" s="15">
        <v>32.4</v>
      </c>
      <c r="G131" s="15">
        <v>32.6</v>
      </c>
      <c r="H131" s="15">
        <v>32.299999999999997</v>
      </c>
      <c r="I131" s="15">
        <v>32.1</v>
      </c>
      <c r="J131" s="15">
        <v>32.200000000000003</v>
      </c>
      <c r="K131" s="15">
        <v>31.8</v>
      </c>
      <c r="L131" s="15">
        <v>31.4</v>
      </c>
      <c r="M131" s="15">
        <v>31.1</v>
      </c>
      <c r="N131" s="15">
        <v>30.7</v>
      </c>
      <c r="O131" s="15">
        <v>30.5</v>
      </c>
      <c r="P131" s="12"/>
    </row>
    <row r="132" spans="1:16" ht="15" customHeight="1" x14ac:dyDescent="0.25">
      <c r="A132" s="233"/>
      <c r="B132" s="14">
        <v>46158</v>
      </c>
      <c r="C132" s="12" t="s">
        <v>12</v>
      </c>
      <c r="D132" s="15">
        <v>30.8</v>
      </c>
      <c r="E132" s="15">
        <v>31.1</v>
      </c>
      <c r="F132" s="15">
        <v>30.7</v>
      </c>
      <c r="G132" s="15">
        <v>30.5</v>
      </c>
      <c r="H132" s="15">
        <v>31</v>
      </c>
      <c r="I132" s="15">
        <v>31</v>
      </c>
      <c r="J132" s="15">
        <v>31.2</v>
      </c>
      <c r="K132" s="15">
        <v>30.6</v>
      </c>
      <c r="L132" s="15">
        <v>31</v>
      </c>
      <c r="M132" s="15">
        <v>31</v>
      </c>
      <c r="N132" s="15">
        <v>30.7</v>
      </c>
      <c r="O132" s="15">
        <v>30.6</v>
      </c>
      <c r="P132" s="12"/>
    </row>
    <row r="133" spans="1:16" ht="15" customHeight="1" x14ac:dyDescent="0.25">
      <c r="A133" s="233"/>
      <c r="B133" s="14">
        <v>46159</v>
      </c>
      <c r="C133" s="12" t="s">
        <v>13</v>
      </c>
      <c r="D133" s="15">
        <v>30.8</v>
      </c>
      <c r="E133" s="15">
        <v>30.7</v>
      </c>
      <c r="F133" s="15">
        <v>31.2</v>
      </c>
      <c r="G133" s="15">
        <v>31.7</v>
      </c>
      <c r="H133" s="15">
        <v>31.6</v>
      </c>
      <c r="I133" s="15">
        <v>30.7</v>
      </c>
      <c r="J133" s="15">
        <v>30.5</v>
      </c>
      <c r="K133" s="15">
        <v>30.2</v>
      </c>
      <c r="L133" s="15">
        <v>30</v>
      </c>
      <c r="M133" s="15">
        <v>30</v>
      </c>
      <c r="N133" s="15">
        <v>29.9</v>
      </c>
      <c r="O133" s="15">
        <v>29.8</v>
      </c>
      <c r="P133" s="12"/>
    </row>
    <row r="134" spans="1:16" ht="15" customHeight="1" x14ac:dyDescent="0.25">
      <c r="A134" s="233"/>
      <c r="B134" s="14">
        <v>46160</v>
      </c>
      <c r="C134" s="12" t="s">
        <v>14</v>
      </c>
      <c r="D134" s="15">
        <v>30</v>
      </c>
      <c r="E134" s="15">
        <v>30</v>
      </c>
      <c r="F134" s="15">
        <v>30.6</v>
      </c>
      <c r="G134" s="15">
        <v>31.1</v>
      </c>
      <c r="H134" s="15">
        <v>31.1</v>
      </c>
      <c r="I134" s="15">
        <v>30.9</v>
      </c>
      <c r="J134" s="15">
        <v>30.85</v>
      </c>
      <c r="K134" s="15">
        <v>30.4</v>
      </c>
      <c r="L134" s="15">
        <v>30.2</v>
      </c>
      <c r="M134" s="15">
        <v>30.1</v>
      </c>
      <c r="N134" s="15">
        <v>29.9</v>
      </c>
      <c r="O134" s="15">
        <v>29.8</v>
      </c>
      <c r="P134" s="12"/>
    </row>
    <row r="135" spans="1:16" ht="15" customHeight="1" x14ac:dyDescent="0.25">
      <c r="A135" s="233"/>
      <c r="B135" s="14">
        <v>46161</v>
      </c>
      <c r="C135" s="12" t="s">
        <v>15</v>
      </c>
      <c r="D135" s="15">
        <v>29.7</v>
      </c>
      <c r="E135" s="15">
        <v>30</v>
      </c>
      <c r="F135" s="15">
        <v>31.7</v>
      </c>
      <c r="G135" s="15">
        <v>31</v>
      </c>
      <c r="H135" s="15">
        <v>31.3</v>
      </c>
      <c r="I135" s="15">
        <v>31.3</v>
      </c>
      <c r="J135" s="15">
        <v>31.3</v>
      </c>
      <c r="K135" s="15">
        <v>31.3</v>
      </c>
      <c r="L135" s="15">
        <v>30.8</v>
      </c>
      <c r="M135" s="15">
        <v>30.4</v>
      </c>
      <c r="N135" s="15">
        <v>30.3</v>
      </c>
      <c r="O135" s="15">
        <v>30.5</v>
      </c>
      <c r="P135" s="12"/>
    </row>
    <row r="136" spans="1:16" ht="15" customHeight="1" x14ac:dyDescent="0.25">
      <c r="A136" s="233"/>
      <c r="B136" s="14">
        <v>46162</v>
      </c>
      <c r="C136" s="12" t="s">
        <v>16</v>
      </c>
      <c r="D136" s="15">
        <v>30.5</v>
      </c>
      <c r="E136" s="15">
        <v>30.5</v>
      </c>
      <c r="F136" s="15">
        <v>30.7</v>
      </c>
      <c r="G136" s="15">
        <v>31.1</v>
      </c>
      <c r="H136" s="15">
        <v>30.7</v>
      </c>
      <c r="I136" s="15">
        <v>30.7</v>
      </c>
      <c r="J136" s="15">
        <v>30.8</v>
      </c>
      <c r="K136" s="15">
        <v>30.5</v>
      </c>
      <c r="L136" s="15">
        <v>30.5</v>
      </c>
      <c r="M136" s="15">
        <v>30.5</v>
      </c>
      <c r="N136" s="15">
        <v>30.2</v>
      </c>
      <c r="O136" s="15">
        <v>29.8</v>
      </c>
      <c r="P136" s="16"/>
    </row>
    <row r="137" spans="1:16" ht="15" customHeight="1" x14ac:dyDescent="0.25">
      <c r="A137" s="233"/>
      <c r="B137" s="14">
        <v>46163</v>
      </c>
      <c r="C137" s="12" t="s">
        <v>17</v>
      </c>
      <c r="D137" s="15">
        <v>30</v>
      </c>
      <c r="E137" s="15">
        <v>30</v>
      </c>
      <c r="F137" s="15">
        <v>30</v>
      </c>
      <c r="G137" s="15">
        <v>30.2</v>
      </c>
      <c r="H137" s="15">
        <v>30.2</v>
      </c>
      <c r="I137" s="15">
        <v>30.2</v>
      </c>
      <c r="J137" s="15">
        <v>30.1</v>
      </c>
      <c r="K137" s="15">
        <v>29.9</v>
      </c>
      <c r="L137" s="15">
        <v>30</v>
      </c>
      <c r="M137" s="15">
        <v>30</v>
      </c>
      <c r="N137" s="15">
        <v>30</v>
      </c>
      <c r="O137" s="15">
        <v>30</v>
      </c>
      <c r="P137" s="16"/>
    </row>
    <row r="138" spans="1:16" ht="15" customHeight="1" x14ac:dyDescent="0.25">
      <c r="A138" s="233"/>
      <c r="B138" s="14">
        <v>46164</v>
      </c>
      <c r="C138" s="17" t="s">
        <v>18</v>
      </c>
      <c r="D138" s="15">
        <v>30</v>
      </c>
      <c r="E138" s="15">
        <v>30</v>
      </c>
      <c r="F138" s="15">
        <v>30.2</v>
      </c>
      <c r="G138" s="15">
        <v>30.4</v>
      </c>
      <c r="H138" s="15">
        <v>30.5</v>
      </c>
      <c r="I138" s="15">
        <v>30.5</v>
      </c>
      <c r="J138" s="15">
        <v>30.3</v>
      </c>
      <c r="K138" s="15">
        <v>30.1</v>
      </c>
      <c r="L138" s="15">
        <v>29.9</v>
      </c>
      <c r="M138" s="15">
        <v>30</v>
      </c>
      <c r="N138" s="15">
        <v>30</v>
      </c>
      <c r="O138" s="15">
        <v>29.9</v>
      </c>
      <c r="P138" s="16"/>
    </row>
    <row r="139" spans="1:16" ht="15" customHeight="1" x14ac:dyDescent="0.25">
      <c r="A139" s="233"/>
      <c r="B139" s="14">
        <v>46165</v>
      </c>
      <c r="C139" s="17" t="s">
        <v>19</v>
      </c>
      <c r="D139" s="15">
        <v>30</v>
      </c>
      <c r="E139" s="15">
        <v>30</v>
      </c>
      <c r="F139" s="15">
        <v>30</v>
      </c>
      <c r="G139" s="15">
        <v>30.1</v>
      </c>
      <c r="H139" s="15">
        <v>30.3</v>
      </c>
      <c r="I139" s="15"/>
      <c r="J139" s="15"/>
      <c r="K139" s="15"/>
      <c r="L139" s="15"/>
      <c r="M139" s="15"/>
      <c r="N139" s="15"/>
      <c r="O139" s="15"/>
      <c r="P139" s="16"/>
    </row>
    <row r="140" spans="1:16" ht="15" customHeight="1" x14ac:dyDescent="0.25">
      <c r="A140" s="234"/>
      <c r="B140" s="14">
        <v>46166</v>
      </c>
      <c r="C140" s="17" t="s">
        <v>20</v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6"/>
    </row>
    <row r="141" spans="1:16" ht="15" customHeight="1" x14ac:dyDescent="0.25">
      <c r="A141" s="232">
        <v>8</v>
      </c>
      <c r="B141" s="235" t="s">
        <v>0</v>
      </c>
      <c r="C141" s="235" t="s">
        <v>65</v>
      </c>
      <c r="D141" s="237" t="s">
        <v>1</v>
      </c>
      <c r="E141" s="238"/>
      <c r="F141" s="238"/>
      <c r="G141" s="238"/>
      <c r="H141" s="238"/>
      <c r="I141" s="238"/>
      <c r="J141" s="238"/>
      <c r="K141" s="238"/>
      <c r="L141" s="238"/>
      <c r="M141" s="238"/>
      <c r="N141" s="238"/>
      <c r="O141" s="239"/>
      <c r="P141" s="12" t="s">
        <v>2</v>
      </c>
    </row>
    <row r="142" spans="1:16" ht="15" customHeight="1" x14ac:dyDescent="0.25">
      <c r="A142" s="233"/>
      <c r="B142" s="236"/>
      <c r="C142" s="236"/>
      <c r="D142" s="13">
        <v>0.375</v>
      </c>
      <c r="E142" s="13">
        <v>0.45833333333333331</v>
      </c>
      <c r="F142" s="13">
        <v>0.54166666666666696</v>
      </c>
      <c r="G142" s="13">
        <v>0.625</v>
      </c>
      <c r="H142" s="13">
        <v>0.70833333333333304</v>
      </c>
      <c r="I142" s="13">
        <v>0.79166666666666696</v>
      </c>
      <c r="J142" s="13">
        <v>0.875</v>
      </c>
      <c r="K142" s="13">
        <v>0.95833333333333304</v>
      </c>
      <c r="L142" s="13">
        <v>1.0416666666666701</v>
      </c>
      <c r="M142" s="13">
        <v>1.125</v>
      </c>
      <c r="N142" s="13">
        <v>1.2083333333333299</v>
      </c>
      <c r="O142" s="13">
        <v>1.2916666666666601</v>
      </c>
      <c r="P142" s="12"/>
    </row>
    <row r="143" spans="1:16" ht="15" customHeight="1" x14ac:dyDescent="0.25">
      <c r="A143" s="233"/>
      <c r="B143" s="14">
        <v>46149</v>
      </c>
      <c r="C143" s="12" t="s">
        <v>3</v>
      </c>
      <c r="D143" s="15"/>
      <c r="E143" s="15"/>
      <c r="F143" s="15"/>
      <c r="G143" s="15"/>
      <c r="H143" s="15"/>
      <c r="I143" s="15">
        <v>32.9</v>
      </c>
      <c r="J143" s="15"/>
      <c r="K143" s="15">
        <v>33</v>
      </c>
      <c r="L143" s="15"/>
      <c r="M143" s="15">
        <v>33</v>
      </c>
      <c r="N143" s="15"/>
      <c r="O143" s="15">
        <v>32.5</v>
      </c>
      <c r="P143" s="16"/>
    </row>
    <row r="144" spans="1:16" ht="15" customHeight="1" x14ac:dyDescent="0.25">
      <c r="A144" s="233"/>
      <c r="B144" s="14">
        <v>46150</v>
      </c>
      <c r="C144" s="12" t="s">
        <v>4</v>
      </c>
      <c r="D144" s="15"/>
      <c r="E144" s="15">
        <v>33.700000000000003</v>
      </c>
      <c r="F144" s="15"/>
      <c r="G144" s="15">
        <v>33.700000000000003</v>
      </c>
      <c r="H144" s="15"/>
      <c r="I144" s="15">
        <v>34</v>
      </c>
      <c r="J144" s="15"/>
      <c r="K144" s="15">
        <v>33.799999999999997</v>
      </c>
      <c r="L144" s="15"/>
      <c r="M144" s="15">
        <v>33.9</v>
      </c>
      <c r="N144" s="15"/>
      <c r="O144" s="15">
        <v>33.6</v>
      </c>
      <c r="P144" s="12"/>
    </row>
    <row r="145" spans="1:16" ht="15" customHeight="1" x14ac:dyDescent="0.25">
      <c r="A145" s="233"/>
      <c r="B145" s="14">
        <v>46151</v>
      </c>
      <c r="C145" s="12" t="s">
        <v>5</v>
      </c>
      <c r="D145" s="15">
        <v>33.700000000000003</v>
      </c>
      <c r="E145" s="15">
        <v>34</v>
      </c>
      <c r="F145" s="15">
        <v>34.200000000000003</v>
      </c>
      <c r="G145" s="15">
        <v>34.200000000000003</v>
      </c>
      <c r="H145" s="15">
        <v>33.700000000000003</v>
      </c>
      <c r="I145" s="15">
        <v>34</v>
      </c>
      <c r="J145" s="15">
        <v>33.700000000000003</v>
      </c>
      <c r="K145" s="15">
        <v>33.700000000000003</v>
      </c>
      <c r="L145" s="15">
        <v>33.5</v>
      </c>
      <c r="M145" s="15">
        <v>33.700000000000003</v>
      </c>
      <c r="N145" s="15">
        <v>34</v>
      </c>
      <c r="O145" s="15">
        <v>33.5</v>
      </c>
      <c r="P145" s="12"/>
    </row>
    <row r="146" spans="1:16" ht="15" customHeight="1" x14ac:dyDescent="0.25">
      <c r="A146" s="233"/>
      <c r="B146" s="14">
        <v>46152</v>
      </c>
      <c r="C146" s="12" t="s">
        <v>6</v>
      </c>
      <c r="D146" s="15">
        <v>33.5</v>
      </c>
      <c r="E146" s="15">
        <v>34</v>
      </c>
      <c r="F146" s="15">
        <v>34</v>
      </c>
      <c r="G146" s="15">
        <v>34</v>
      </c>
      <c r="H146" s="15">
        <v>34.9</v>
      </c>
      <c r="I146" s="15">
        <v>34.4</v>
      </c>
      <c r="J146" s="15">
        <v>34</v>
      </c>
      <c r="K146" s="15">
        <v>33.5</v>
      </c>
      <c r="L146" s="15">
        <v>33.6</v>
      </c>
      <c r="M146" s="15">
        <v>33.700000000000003</v>
      </c>
      <c r="N146" s="15">
        <v>33.6</v>
      </c>
      <c r="O146" s="15">
        <v>34</v>
      </c>
      <c r="P146" s="12"/>
    </row>
    <row r="147" spans="1:16" ht="15" customHeight="1" x14ac:dyDescent="0.25">
      <c r="A147" s="233"/>
      <c r="B147" s="14">
        <v>46153</v>
      </c>
      <c r="C147" s="12" t="s">
        <v>7</v>
      </c>
      <c r="D147" s="15">
        <v>33.700000000000003</v>
      </c>
      <c r="E147" s="15">
        <v>34</v>
      </c>
      <c r="F147" s="15">
        <v>33.9</v>
      </c>
      <c r="G147" s="15">
        <v>33.9</v>
      </c>
      <c r="H147" s="15">
        <v>33.6</v>
      </c>
      <c r="I147" s="15">
        <v>33.200000000000003</v>
      </c>
      <c r="J147" s="15">
        <v>32.9</v>
      </c>
      <c r="K147" s="15">
        <v>32.5</v>
      </c>
      <c r="L147" s="15">
        <v>32.700000000000003</v>
      </c>
      <c r="M147" s="15">
        <v>33</v>
      </c>
      <c r="N147" s="15">
        <v>32.799999999999997</v>
      </c>
      <c r="O147" s="15">
        <v>32.799999999999997</v>
      </c>
      <c r="P147" s="12"/>
    </row>
    <row r="148" spans="1:16" ht="15" customHeight="1" x14ac:dyDescent="0.25">
      <c r="A148" s="233"/>
      <c r="B148" s="14">
        <v>46154</v>
      </c>
      <c r="C148" s="12" t="s">
        <v>8</v>
      </c>
      <c r="D148" s="15">
        <v>32.9</v>
      </c>
      <c r="E148" s="15">
        <v>32.6</v>
      </c>
      <c r="F148" s="15">
        <v>32.6</v>
      </c>
      <c r="G148" s="15">
        <v>32.6</v>
      </c>
      <c r="H148" s="15">
        <v>32.799999999999997</v>
      </c>
      <c r="I148" s="15">
        <v>32.9</v>
      </c>
      <c r="J148" s="15">
        <v>32.700000000000003</v>
      </c>
      <c r="K148" s="15">
        <v>32.799999999999997</v>
      </c>
      <c r="L148" s="15">
        <v>33</v>
      </c>
      <c r="M148" s="15">
        <v>33</v>
      </c>
      <c r="N148" s="15">
        <v>32.799999999999997</v>
      </c>
      <c r="O148" s="15">
        <v>32.9</v>
      </c>
      <c r="P148" s="12"/>
    </row>
    <row r="149" spans="1:16" ht="15" customHeight="1" x14ac:dyDescent="0.25">
      <c r="A149" s="233"/>
      <c r="B149" s="14">
        <v>46155</v>
      </c>
      <c r="C149" s="12" t="s">
        <v>9</v>
      </c>
      <c r="D149" s="15">
        <v>32.9</v>
      </c>
      <c r="E149" s="15">
        <v>33</v>
      </c>
      <c r="F149" s="15">
        <v>33</v>
      </c>
      <c r="G149" s="15">
        <v>33</v>
      </c>
      <c r="H149" s="15">
        <v>32.700000000000003</v>
      </c>
      <c r="I149" s="15">
        <v>32.299999999999997</v>
      </c>
      <c r="J149" s="15">
        <v>32</v>
      </c>
      <c r="K149" s="15">
        <v>31.8</v>
      </c>
      <c r="L149" s="15">
        <v>31.9</v>
      </c>
      <c r="M149" s="15">
        <v>31.6</v>
      </c>
      <c r="N149" s="15">
        <v>31.9</v>
      </c>
      <c r="O149" s="15">
        <v>31.6</v>
      </c>
      <c r="P149" s="12"/>
    </row>
    <row r="150" spans="1:16" ht="15" customHeight="1" x14ac:dyDescent="0.25">
      <c r="A150" s="233"/>
      <c r="B150" s="14">
        <v>46156</v>
      </c>
      <c r="C150" s="12" t="s">
        <v>10</v>
      </c>
      <c r="D150" s="15">
        <v>31.8</v>
      </c>
      <c r="E150" s="15">
        <v>31.8</v>
      </c>
      <c r="F150" s="15">
        <v>32.4</v>
      </c>
      <c r="G150" s="15">
        <v>32.5</v>
      </c>
      <c r="H150" s="15">
        <v>32.700000000000003</v>
      </c>
      <c r="I150" s="15">
        <v>32.5</v>
      </c>
      <c r="J150" s="15">
        <v>32.1</v>
      </c>
      <c r="K150" s="15">
        <v>31.8</v>
      </c>
      <c r="L150" s="15">
        <v>31.9</v>
      </c>
      <c r="M150" s="15">
        <v>31.7</v>
      </c>
      <c r="N150" s="15">
        <v>32</v>
      </c>
      <c r="O150" s="15">
        <v>31.7</v>
      </c>
      <c r="P150" s="12"/>
    </row>
    <row r="151" spans="1:16" ht="15" customHeight="1" x14ac:dyDescent="0.25">
      <c r="A151" s="233"/>
      <c r="B151" s="14">
        <v>46157</v>
      </c>
      <c r="C151" s="12" t="s">
        <v>11</v>
      </c>
      <c r="D151" s="15">
        <v>32</v>
      </c>
      <c r="E151" s="15">
        <v>32</v>
      </c>
      <c r="F151" s="15">
        <v>32.4</v>
      </c>
      <c r="G151" s="15">
        <v>32.6</v>
      </c>
      <c r="H151" s="15">
        <v>32.6</v>
      </c>
      <c r="I151" s="15">
        <v>32.299999999999997</v>
      </c>
      <c r="J151" s="15">
        <v>31.9</v>
      </c>
      <c r="K151" s="15">
        <v>31.5</v>
      </c>
      <c r="L151" s="15">
        <v>31.1</v>
      </c>
      <c r="M151" s="15">
        <v>30.6</v>
      </c>
      <c r="N151" s="15">
        <v>31</v>
      </c>
      <c r="O151" s="15">
        <v>30.9</v>
      </c>
      <c r="P151" s="12"/>
    </row>
    <row r="152" spans="1:16" ht="15" customHeight="1" x14ac:dyDescent="0.25">
      <c r="A152" s="233"/>
      <c r="B152" s="14">
        <v>46158</v>
      </c>
      <c r="C152" s="12" t="s">
        <v>12</v>
      </c>
      <c r="D152" s="15">
        <v>30.6</v>
      </c>
      <c r="E152" s="15">
        <v>31</v>
      </c>
      <c r="F152" s="15">
        <v>31</v>
      </c>
      <c r="G152" s="15">
        <v>31</v>
      </c>
      <c r="H152" s="15">
        <v>30.7</v>
      </c>
      <c r="I152" s="15">
        <v>30.7</v>
      </c>
      <c r="J152" s="15">
        <v>30.7</v>
      </c>
      <c r="K152" s="15">
        <v>30.8</v>
      </c>
      <c r="L152" s="15">
        <v>30.4</v>
      </c>
      <c r="M152" s="15">
        <v>30.7</v>
      </c>
      <c r="N152" s="15">
        <v>30.5</v>
      </c>
      <c r="O152" s="15">
        <v>30.7</v>
      </c>
      <c r="P152" s="12"/>
    </row>
    <row r="153" spans="1:16" ht="15" customHeight="1" x14ac:dyDescent="0.25">
      <c r="A153" s="233"/>
      <c r="B153" s="14">
        <v>46159</v>
      </c>
      <c r="C153" s="12" t="s">
        <v>13</v>
      </c>
      <c r="D153" s="15">
        <v>30.8</v>
      </c>
      <c r="E153" s="15">
        <v>30.8</v>
      </c>
      <c r="F153" s="15">
        <v>31.3</v>
      </c>
      <c r="G153" s="15">
        <v>31.5</v>
      </c>
      <c r="H153" s="15">
        <v>31.7</v>
      </c>
      <c r="I153" s="15">
        <v>31.5</v>
      </c>
      <c r="J153" s="15">
        <v>31.3</v>
      </c>
      <c r="K153" s="15">
        <v>30.9</v>
      </c>
      <c r="L153" s="15">
        <v>30.7</v>
      </c>
      <c r="M153" s="15">
        <v>30.4</v>
      </c>
      <c r="N153" s="15">
        <v>30</v>
      </c>
      <c r="O153" s="15">
        <v>30</v>
      </c>
      <c r="P153" s="12"/>
    </row>
    <row r="154" spans="1:16" ht="15" customHeight="1" x14ac:dyDescent="0.25">
      <c r="A154" s="233"/>
      <c r="B154" s="14">
        <v>46160</v>
      </c>
      <c r="C154" s="12" t="s">
        <v>14</v>
      </c>
      <c r="D154" s="15">
        <v>29.7</v>
      </c>
      <c r="E154" s="15">
        <v>30.2</v>
      </c>
      <c r="F154" s="15">
        <v>30.9</v>
      </c>
      <c r="G154" s="15">
        <v>31.6</v>
      </c>
      <c r="H154" s="15">
        <v>31.6</v>
      </c>
      <c r="I154" s="15">
        <v>31.3</v>
      </c>
      <c r="J154" s="15">
        <v>31</v>
      </c>
      <c r="K154" s="15">
        <v>30.5</v>
      </c>
      <c r="L154" s="15">
        <v>30.1</v>
      </c>
      <c r="M154" s="15">
        <v>29.8</v>
      </c>
      <c r="N154" s="15">
        <v>30</v>
      </c>
      <c r="O154" s="15">
        <v>29.7</v>
      </c>
      <c r="P154" s="12"/>
    </row>
    <row r="155" spans="1:16" ht="15" customHeight="1" x14ac:dyDescent="0.25">
      <c r="A155" s="233"/>
      <c r="B155" s="14">
        <v>46161</v>
      </c>
      <c r="C155" s="12" t="s">
        <v>15</v>
      </c>
      <c r="D155" s="15">
        <v>30</v>
      </c>
      <c r="E155" s="15">
        <v>31</v>
      </c>
      <c r="F155" s="15">
        <v>31</v>
      </c>
      <c r="G155" s="15">
        <v>31.6</v>
      </c>
      <c r="H155" s="15">
        <v>31.6</v>
      </c>
      <c r="I155" s="15">
        <v>31.4</v>
      </c>
      <c r="J155" s="15">
        <v>31.1</v>
      </c>
      <c r="K155" s="15">
        <v>30.8</v>
      </c>
      <c r="L155" s="15">
        <v>30.5</v>
      </c>
      <c r="M155" s="15">
        <v>30.2</v>
      </c>
      <c r="N155" s="15">
        <v>30</v>
      </c>
      <c r="O155" s="15">
        <v>29.9</v>
      </c>
      <c r="P155" s="12"/>
    </row>
    <row r="156" spans="1:16" ht="15" customHeight="1" x14ac:dyDescent="0.25">
      <c r="A156" s="233"/>
      <c r="B156" s="14">
        <v>46162</v>
      </c>
      <c r="C156" s="12" t="s">
        <v>16</v>
      </c>
      <c r="D156" s="15">
        <v>29.8</v>
      </c>
      <c r="E156" s="15">
        <v>29.8</v>
      </c>
      <c r="F156" s="15">
        <v>30.1</v>
      </c>
      <c r="G156" s="15">
        <v>30.5</v>
      </c>
      <c r="H156" s="15">
        <v>31.1</v>
      </c>
      <c r="I156" s="15">
        <v>31.1</v>
      </c>
      <c r="J156" s="15">
        <v>30.9</v>
      </c>
      <c r="K156" s="15">
        <v>30.4</v>
      </c>
      <c r="L156" s="15">
        <v>29.7</v>
      </c>
      <c r="M156" s="15">
        <v>29.7</v>
      </c>
      <c r="N156" s="15">
        <v>29.7</v>
      </c>
      <c r="O156" s="15">
        <v>29.8</v>
      </c>
      <c r="P156" s="16"/>
    </row>
    <row r="157" spans="1:16" ht="15" customHeight="1" x14ac:dyDescent="0.25">
      <c r="A157" s="233"/>
      <c r="B157" s="14">
        <v>46163</v>
      </c>
      <c r="C157" s="12" t="s">
        <v>17</v>
      </c>
      <c r="D157" s="15">
        <v>29.8</v>
      </c>
      <c r="E157" s="15">
        <v>29.8</v>
      </c>
      <c r="F157" s="15">
        <v>30</v>
      </c>
      <c r="G157" s="15">
        <v>30.3</v>
      </c>
      <c r="H157" s="15">
        <v>30.3</v>
      </c>
      <c r="I157" s="15">
        <v>30.3</v>
      </c>
      <c r="J157" s="15">
        <v>30.2</v>
      </c>
      <c r="K157" s="15">
        <v>30.1</v>
      </c>
      <c r="L157" s="15">
        <v>30.3</v>
      </c>
      <c r="M157" s="15">
        <v>30.3</v>
      </c>
      <c r="N157" s="15">
        <v>29.7</v>
      </c>
      <c r="O157" s="15">
        <v>30</v>
      </c>
      <c r="P157" s="16"/>
    </row>
    <row r="158" spans="1:16" ht="15" customHeight="1" x14ac:dyDescent="0.25">
      <c r="A158" s="233"/>
      <c r="B158" s="14">
        <v>46164</v>
      </c>
      <c r="C158" s="17" t="s">
        <v>18</v>
      </c>
      <c r="D158" s="15">
        <v>30.3</v>
      </c>
      <c r="E158" s="15">
        <v>30</v>
      </c>
      <c r="F158" s="15">
        <v>30.5</v>
      </c>
      <c r="G158" s="15">
        <v>30.8</v>
      </c>
      <c r="H158" s="15">
        <v>30.8</v>
      </c>
      <c r="I158" s="15">
        <v>30.8</v>
      </c>
      <c r="J158" s="15">
        <v>30.6</v>
      </c>
      <c r="K158" s="15">
        <v>30.4</v>
      </c>
      <c r="L158" s="15">
        <v>30</v>
      </c>
      <c r="M158" s="15">
        <v>29.4</v>
      </c>
      <c r="N158" s="15">
        <v>29.9</v>
      </c>
      <c r="O158" s="15">
        <v>30</v>
      </c>
      <c r="P158" s="16"/>
    </row>
    <row r="159" spans="1:16" ht="15" customHeight="1" x14ac:dyDescent="0.25">
      <c r="A159" s="233"/>
      <c r="B159" s="14">
        <v>46165</v>
      </c>
      <c r="C159" s="17" t="s">
        <v>19</v>
      </c>
      <c r="D159" s="15">
        <v>30</v>
      </c>
      <c r="E159" s="15">
        <v>30</v>
      </c>
      <c r="F159" s="15">
        <v>30.5</v>
      </c>
      <c r="G159" s="15">
        <v>30.6</v>
      </c>
      <c r="H159" s="15">
        <v>30.6</v>
      </c>
      <c r="I159" s="15"/>
      <c r="J159" s="15"/>
      <c r="K159" s="15"/>
      <c r="L159" s="15"/>
      <c r="M159" s="15"/>
      <c r="N159" s="15"/>
      <c r="O159" s="15"/>
      <c r="P159" s="16"/>
    </row>
    <row r="160" spans="1:16" ht="15" customHeight="1" x14ac:dyDescent="0.25">
      <c r="A160" s="234"/>
      <c r="B160" s="14">
        <v>46166</v>
      </c>
      <c r="C160" s="17" t="s">
        <v>20</v>
      </c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6"/>
    </row>
    <row r="161" spans="1:16" ht="15" customHeight="1" x14ac:dyDescent="0.25">
      <c r="A161" s="232">
        <v>9</v>
      </c>
      <c r="B161" s="235" t="s">
        <v>0</v>
      </c>
      <c r="C161" s="235" t="s">
        <v>65</v>
      </c>
      <c r="D161" s="237" t="s">
        <v>1</v>
      </c>
      <c r="E161" s="238"/>
      <c r="F161" s="238"/>
      <c r="G161" s="238"/>
      <c r="H161" s="238"/>
      <c r="I161" s="238"/>
      <c r="J161" s="238"/>
      <c r="K161" s="238"/>
      <c r="L161" s="238"/>
      <c r="M161" s="238"/>
      <c r="N161" s="238"/>
      <c r="O161" s="239"/>
      <c r="P161" s="12" t="s">
        <v>2</v>
      </c>
    </row>
    <row r="162" spans="1:16" ht="15" customHeight="1" x14ac:dyDescent="0.25">
      <c r="A162" s="233"/>
      <c r="B162" s="236"/>
      <c r="C162" s="236"/>
      <c r="D162" s="13">
        <v>0.375</v>
      </c>
      <c r="E162" s="13">
        <v>0.45833333333333331</v>
      </c>
      <c r="F162" s="13">
        <v>0.54166666666666696</v>
      </c>
      <c r="G162" s="13">
        <v>0.625</v>
      </c>
      <c r="H162" s="13">
        <v>0.70833333333333304</v>
      </c>
      <c r="I162" s="13">
        <v>0.79166666666666696</v>
      </c>
      <c r="J162" s="13">
        <v>0.875</v>
      </c>
      <c r="K162" s="13">
        <v>0.95833333333333304</v>
      </c>
      <c r="L162" s="13">
        <v>1.0416666666666701</v>
      </c>
      <c r="M162" s="13">
        <v>1.125</v>
      </c>
      <c r="N162" s="13">
        <v>1.2083333333333299</v>
      </c>
      <c r="O162" s="13">
        <v>1.2916666666666601</v>
      </c>
      <c r="P162" s="12"/>
    </row>
    <row r="163" spans="1:16" ht="15" customHeight="1" x14ac:dyDescent="0.25">
      <c r="A163" s="233"/>
      <c r="B163" s="14">
        <v>46149</v>
      </c>
      <c r="C163" s="12" t="s">
        <v>3</v>
      </c>
      <c r="D163" s="15"/>
      <c r="E163" s="15"/>
      <c r="F163" s="15"/>
      <c r="G163" s="15"/>
      <c r="H163" s="15"/>
      <c r="I163" s="15">
        <v>32.799999999999997</v>
      </c>
      <c r="J163" s="15"/>
      <c r="K163" s="15">
        <v>32.700000000000003</v>
      </c>
      <c r="L163" s="15"/>
      <c r="M163" s="15">
        <v>32.799999999999997</v>
      </c>
      <c r="N163" s="15"/>
      <c r="O163" s="15">
        <v>32.6</v>
      </c>
      <c r="P163" s="16"/>
    </row>
    <row r="164" spans="1:16" ht="15" customHeight="1" x14ac:dyDescent="0.25">
      <c r="A164" s="233"/>
      <c r="B164" s="14">
        <v>46150</v>
      </c>
      <c r="C164" s="12" t="s">
        <v>4</v>
      </c>
      <c r="D164" s="15"/>
      <c r="E164" s="15">
        <v>33.9</v>
      </c>
      <c r="F164" s="15"/>
      <c r="G164" s="15">
        <v>33.9</v>
      </c>
      <c r="H164" s="15"/>
      <c r="I164" s="15">
        <v>33.9</v>
      </c>
      <c r="J164" s="15"/>
      <c r="K164" s="15">
        <v>34</v>
      </c>
      <c r="L164" s="15"/>
      <c r="M164" s="15">
        <v>33.9</v>
      </c>
      <c r="N164" s="15"/>
      <c r="O164" s="15">
        <v>33.799999999999997</v>
      </c>
      <c r="P164" s="12"/>
    </row>
    <row r="165" spans="1:16" ht="15" customHeight="1" x14ac:dyDescent="0.25">
      <c r="A165" s="233"/>
      <c r="B165" s="14">
        <v>46151</v>
      </c>
      <c r="C165" s="12" t="s">
        <v>5</v>
      </c>
      <c r="D165" s="15">
        <v>33.799999999999997</v>
      </c>
      <c r="E165" s="15">
        <v>33.700000000000003</v>
      </c>
      <c r="F165" s="15">
        <v>33.9</v>
      </c>
      <c r="G165" s="15">
        <v>34</v>
      </c>
      <c r="H165" s="15">
        <v>33.700000000000003</v>
      </c>
      <c r="I165" s="15">
        <v>34</v>
      </c>
      <c r="J165" s="15">
        <v>33.799999999999997</v>
      </c>
      <c r="K165" s="15">
        <v>33.9</v>
      </c>
      <c r="L165" s="15">
        <v>33.799999999999997</v>
      </c>
      <c r="M165" s="15">
        <v>34</v>
      </c>
      <c r="N165" s="15">
        <v>33.700000000000003</v>
      </c>
      <c r="O165" s="15">
        <v>33.9</v>
      </c>
      <c r="P165" s="12"/>
    </row>
    <row r="166" spans="1:16" ht="15" customHeight="1" x14ac:dyDescent="0.25">
      <c r="A166" s="233"/>
      <c r="B166" s="14">
        <v>46152</v>
      </c>
      <c r="C166" s="12" t="s">
        <v>6</v>
      </c>
      <c r="D166" s="15">
        <v>33.5</v>
      </c>
      <c r="E166" s="15">
        <v>34</v>
      </c>
      <c r="F166" s="15">
        <v>34.200000000000003</v>
      </c>
      <c r="G166" s="15">
        <v>34.200000000000003</v>
      </c>
      <c r="H166" s="15">
        <v>34.200000000000003</v>
      </c>
      <c r="I166" s="15">
        <v>34</v>
      </c>
      <c r="J166" s="15">
        <v>33.700000000000003</v>
      </c>
      <c r="K166" s="15">
        <v>34</v>
      </c>
      <c r="L166" s="15">
        <v>33.9</v>
      </c>
      <c r="M166" s="15">
        <v>33.5</v>
      </c>
      <c r="N166" s="15">
        <v>34</v>
      </c>
      <c r="O166" s="15">
        <v>33.5</v>
      </c>
      <c r="P166" s="12"/>
    </row>
    <row r="167" spans="1:16" ht="15" customHeight="1" x14ac:dyDescent="0.25">
      <c r="A167" s="233"/>
      <c r="B167" s="14">
        <v>46153</v>
      </c>
      <c r="C167" s="12" t="s">
        <v>7</v>
      </c>
      <c r="D167" s="15">
        <v>33.9</v>
      </c>
      <c r="E167" s="15">
        <v>33.700000000000003</v>
      </c>
      <c r="F167" s="15">
        <v>33.700000000000003</v>
      </c>
      <c r="G167" s="15">
        <v>33.700000000000003</v>
      </c>
      <c r="H167" s="15">
        <v>33.700000000000003</v>
      </c>
      <c r="I167" s="15">
        <v>33.200000000000003</v>
      </c>
      <c r="J167" s="15">
        <v>33</v>
      </c>
      <c r="K167" s="15">
        <v>32.700000000000003</v>
      </c>
      <c r="L167" s="15">
        <v>32.9</v>
      </c>
      <c r="M167" s="15">
        <v>32.700000000000003</v>
      </c>
      <c r="N167" s="15">
        <v>32.9</v>
      </c>
      <c r="O167" s="15">
        <v>32.6</v>
      </c>
      <c r="P167" s="12"/>
    </row>
    <row r="168" spans="1:16" ht="15" customHeight="1" x14ac:dyDescent="0.25">
      <c r="A168" s="233"/>
      <c r="B168" s="14">
        <v>46154</v>
      </c>
      <c r="C168" s="12" t="s">
        <v>8</v>
      </c>
      <c r="D168" s="15">
        <v>33</v>
      </c>
      <c r="E168" s="15">
        <v>32.799999999999997</v>
      </c>
      <c r="F168" s="15">
        <v>32.799999999999997</v>
      </c>
      <c r="G168" s="15">
        <v>32.799999999999997</v>
      </c>
      <c r="H168" s="15">
        <v>32.700000000000003</v>
      </c>
      <c r="I168" s="15">
        <v>33</v>
      </c>
      <c r="J168" s="15">
        <v>32.700000000000003</v>
      </c>
      <c r="K168" s="15">
        <v>32.799999999999997</v>
      </c>
      <c r="L168" s="15">
        <v>33</v>
      </c>
      <c r="M168" s="15">
        <v>32.9</v>
      </c>
      <c r="N168" s="15">
        <v>32.5</v>
      </c>
      <c r="O168" s="15">
        <v>33</v>
      </c>
      <c r="P168" s="12"/>
    </row>
    <row r="169" spans="1:16" ht="15" customHeight="1" x14ac:dyDescent="0.25">
      <c r="A169" s="233"/>
      <c r="B169" s="14">
        <v>46155</v>
      </c>
      <c r="C169" s="12" t="s">
        <v>9</v>
      </c>
      <c r="D169" s="15">
        <v>32.700000000000003</v>
      </c>
      <c r="E169" s="15">
        <v>32.6</v>
      </c>
      <c r="F169" s="15">
        <v>32.6</v>
      </c>
      <c r="G169" s="15">
        <v>32.6</v>
      </c>
      <c r="H169" s="15">
        <v>32.6</v>
      </c>
      <c r="I169" s="15">
        <v>32.299999999999997</v>
      </c>
      <c r="J169" s="15">
        <v>32</v>
      </c>
      <c r="K169" s="15">
        <v>31.8</v>
      </c>
      <c r="L169" s="15">
        <v>31.9</v>
      </c>
      <c r="M169" s="15">
        <v>31.6</v>
      </c>
      <c r="N169" s="15">
        <v>31.9</v>
      </c>
      <c r="O169" s="15">
        <v>31.7</v>
      </c>
      <c r="P169" s="12"/>
    </row>
    <row r="170" spans="1:16" ht="15" customHeight="1" x14ac:dyDescent="0.25">
      <c r="A170" s="233"/>
      <c r="B170" s="14">
        <v>46156</v>
      </c>
      <c r="C170" s="12" t="s">
        <v>10</v>
      </c>
      <c r="D170" s="15">
        <v>31.9</v>
      </c>
      <c r="E170" s="15">
        <v>31.8</v>
      </c>
      <c r="F170" s="15">
        <v>32.4</v>
      </c>
      <c r="G170" s="15">
        <v>32.5</v>
      </c>
      <c r="H170" s="15">
        <v>32.5</v>
      </c>
      <c r="I170" s="15">
        <v>32</v>
      </c>
      <c r="J170" s="15">
        <v>32</v>
      </c>
      <c r="K170" s="15">
        <v>31.6</v>
      </c>
      <c r="L170" s="15">
        <v>31.9</v>
      </c>
      <c r="M170" s="15">
        <v>31.8</v>
      </c>
      <c r="N170" s="15">
        <v>31.8</v>
      </c>
      <c r="O170" s="15">
        <v>32</v>
      </c>
      <c r="P170" s="12"/>
    </row>
    <row r="171" spans="1:16" ht="15" customHeight="1" x14ac:dyDescent="0.25">
      <c r="A171" s="233"/>
      <c r="B171" s="14">
        <v>46157</v>
      </c>
      <c r="C171" s="12" t="s">
        <v>11</v>
      </c>
      <c r="D171" s="15">
        <v>31.7</v>
      </c>
      <c r="E171" s="15">
        <v>31.6</v>
      </c>
      <c r="F171" s="15">
        <v>32.1</v>
      </c>
      <c r="G171" s="15">
        <v>32.9</v>
      </c>
      <c r="H171" s="15">
        <v>32.299999999999997</v>
      </c>
      <c r="I171" s="15">
        <v>31.9</v>
      </c>
      <c r="J171" s="15">
        <v>31.5</v>
      </c>
      <c r="K171" s="15">
        <v>31.2</v>
      </c>
      <c r="L171" s="15">
        <v>30.8</v>
      </c>
      <c r="M171" s="15">
        <v>30.8</v>
      </c>
      <c r="N171" s="15">
        <v>30.9</v>
      </c>
      <c r="O171" s="15">
        <v>30.7</v>
      </c>
      <c r="P171" s="12"/>
    </row>
    <row r="172" spans="1:16" ht="15" customHeight="1" x14ac:dyDescent="0.25">
      <c r="A172" s="233"/>
      <c r="B172" s="14">
        <v>46158</v>
      </c>
      <c r="C172" s="12" t="s">
        <v>12</v>
      </c>
      <c r="D172" s="15">
        <v>30.9</v>
      </c>
      <c r="E172" s="15">
        <v>30.9</v>
      </c>
      <c r="F172" s="15">
        <v>30.8</v>
      </c>
      <c r="G172" s="15">
        <v>30.6</v>
      </c>
      <c r="H172" s="15">
        <v>30.8</v>
      </c>
      <c r="I172" s="15">
        <v>30.7</v>
      </c>
      <c r="J172" s="15">
        <v>30.6</v>
      </c>
      <c r="K172" s="15">
        <v>30.8</v>
      </c>
      <c r="L172" s="15">
        <v>30.5</v>
      </c>
      <c r="M172" s="15">
        <v>30.7</v>
      </c>
      <c r="N172" s="15">
        <v>30.6</v>
      </c>
      <c r="O172" s="15">
        <v>30.8</v>
      </c>
      <c r="P172" s="12"/>
    </row>
    <row r="173" spans="1:16" ht="15" customHeight="1" x14ac:dyDescent="0.25">
      <c r="A173" s="233"/>
      <c r="B173" s="14">
        <v>46159</v>
      </c>
      <c r="C173" s="12" t="s">
        <v>13</v>
      </c>
      <c r="D173" s="15">
        <v>30.6</v>
      </c>
      <c r="E173" s="15">
        <v>30.6</v>
      </c>
      <c r="F173" s="15">
        <v>31</v>
      </c>
      <c r="G173" s="15">
        <v>31.3</v>
      </c>
      <c r="H173" s="15">
        <v>31.4</v>
      </c>
      <c r="I173" s="15">
        <v>31.3</v>
      </c>
      <c r="J173" s="15">
        <v>31.1</v>
      </c>
      <c r="K173" s="15">
        <v>30.7</v>
      </c>
      <c r="L173" s="15">
        <v>30.5</v>
      </c>
      <c r="M173" s="15">
        <v>30.3</v>
      </c>
      <c r="N173" s="15">
        <v>30</v>
      </c>
      <c r="O173" s="15">
        <v>30</v>
      </c>
      <c r="P173" s="12"/>
    </row>
    <row r="174" spans="1:16" ht="15" customHeight="1" x14ac:dyDescent="0.25">
      <c r="A174" s="233"/>
      <c r="B174" s="14">
        <v>46160</v>
      </c>
      <c r="C174" s="12" t="s">
        <v>14</v>
      </c>
      <c r="D174" s="15">
        <v>30</v>
      </c>
      <c r="E174" s="15">
        <v>30.4</v>
      </c>
      <c r="F174" s="15">
        <v>31.5</v>
      </c>
      <c r="G174" s="15">
        <v>31.9</v>
      </c>
      <c r="H174" s="15">
        <v>31.9</v>
      </c>
      <c r="I174" s="15">
        <v>31.8</v>
      </c>
      <c r="J174" s="15">
        <v>31.4</v>
      </c>
      <c r="K174" s="15">
        <v>31</v>
      </c>
      <c r="L174" s="15">
        <v>30.7</v>
      </c>
      <c r="M174" s="15">
        <v>30.3</v>
      </c>
      <c r="N174" s="15">
        <v>30</v>
      </c>
      <c r="O174" s="15">
        <v>29.7</v>
      </c>
      <c r="P174" s="12"/>
    </row>
    <row r="175" spans="1:16" ht="15" customHeight="1" x14ac:dyDescent="0.25">
      <c r="A175" s="233"/>
      <c r="B175" s="14">
        <v>46161</v>
      </c>
      <c r="C175" s="12" t="s">
        <v>15</v>
      </c>
      <c r="D175" s="15">
        <v>29.7</v>
      </c>
      <c r="E175" s="15">
        <v>29.9</v>
      </c>
      <c r="F175" s="15">
        <v>31</v>
      </c>
      <c r="G175" s="15">
        <v>31.5</v>
      </c>
      <c r="H175" s="15">
        <v>31.5</v>
      </c>
      <c r="I175" s="15">
        <v>31.4</v>
      </c>
      <c r="J175" s="15">
        <v>31.2</v>
      </c>
      <c r="K175" s="15">
        <v>30.8</v>
      </c>
      <c r="L175" s="15">
        <v>30.6</v>
      </c>
      <c r="M175" s="15">
        <v>30.4</v>
      </c>
      <c r="N175" s="15">
        <v>30.2</v>
      </c>
      <c r="O175" s="15">
        <v>29.9</v>
      </c>
      <c r="P175" s="12"/>
    </row>
    <row r="176" spans="1:16" ht="15" customHeight="1" x14ac:dyDescent="0.25">
      <c r="A176" s="233"/>
      <c r="B176" s="14">
        <v>46162</v>
      </c>
      <c r="C176" s="12" t="s">
        <v>16</v>
      </c>
      <c r="D176" s="15">
        <v>29.8</v>
      </c>
      <c r="E176" s="15">
        <v>29.8</v>
      </c>
      <c r="F176" s="15">
        <v>30.2</v>
      </c>
      <c r="G176" s="15">
        <v>30.6</v>
      </c>
      <c r="H176" s="15">
        <v>30.7</v>
      </c>
      <c r="I176" s="15">
        <v>30.7</v>
      </c>
      <c r="J176" s="15">
        <v>30.6</v>
      </c>
      <c r="K176" s="15">
        <v>30.4</v>
      </c>
      <c r="L176" s="15">
        <v>29.9</v>
      </c>
      <c r="M176" s="15">
        <v>29.9</v>
      </c>
      <c r="N176" s="15">
        <v>29.7</v>
      </c>
      <c r="O176" s="15">
        <v>29.7</v>
      </c>
      <c r="P176" s="16"/>
    </row>
    <row r="177" spans="1:16" ht="15" customHeight="1" x14ac:dyDescent="0.25">
      <c r="A177" s="233"/>
      <c r="B177" s="14">
        <v>46163</v>
      </c>
      <c r="C177" s="12" t="s">
        <v>17</v>
      </c>
      <c r="D177" s="15">
        <v>30</v>
      </c>
      <c r="E177" s="15">
        <v>30.2</v>
      </c>
      <c r="F177" s="15">
        <v>30</v>
      </c>
      <c r="G177" s="15">
        <v>30.7</v>
      </c>
      <c r="H177" s="15">
        <v>30.7</v>
      </c>
      <c r="I177" s="15">
        <v>30.7</v>
      </c>
      <c r="J177" s="15">
        <v>30.4</v>
      </c>
      <c r="K177" s="15">
        <v>30.3</v>
      </c>
      <c r="L177" s="15">
        <v>30.1</v>
      </c>
      <c r="M177" s="15">
        <v>29.9</v>
      </c>
      <c r="N177" s="15">
        <v>29.7</v>
      </c>
      <c r="O177" s="15">
        <v>29.5</v>
      </c>
      <c r="P177" s="16"/>
    </row>
    <row r="178" spans="1:16" ht="15" customHeight="1" x14ac:dyDescent="0.25">
      <c r="A178" s="233"/>
      <c r="B178" s="14">
        <v>46164</v>
      </c>
      <c r="C178" s="17" t="s">
        <v>18</v>
      </c>
      <c r="D178" s="15">
        <v>30</v>
      </c>
      <c r="E178" s="15">
        <v>30.2</v>
      </c>
      <c r="F178" s="15">
        <v>30.9</v>
      </c>
      <c r="G178" s="15">
        <v>31.1</v>
      </c>
      <c r="H178" s="15">
        <v>31.1</v>
      </c>
      <c r="I178" s="15">
        <v>31.1</v>
      </c>
      <c r="J178" s="15">
        <v>30.8</v>
      </c>
      <c r="K178" s="15">
        <v>30.5</v>
      </c>
      <c r="L178" s="15">
        <v>30.3</v>
      </c>
      <c r="M178" s="15">
        <v>30</v>
      </c>
      <c r="N178" s="15">
        <v>29.7</v>
      </c>
      <c r="O178" s="15">
        <v>30</v>
      </c>
      <c r="P178" s="16"/>
    </row>
    <row r="179" spans="1:16" ht="15" customHeight="1" x14ac:dyDescent="0.25">
      <c r="A179" s="233"/>
      <c r="B179" s="14">
        <v>46165</v>
      </c>
      <c r="C179" s="17" t="s">
        <v>19</v>
      </c>
      <c r="D179" s="15">
        <v>29.7</v>
      </c>
      <c r="E179" s="15">
        <v>30.2</v>
      </c>
      <c r="F179" s="15">
        <v>30.9</v>
      </c>
      <c r="G179" s="15">
        <v>30.9</v>
      </c>
      <c r="H179" s="15">
        <v>31</v>
      </c>
      <c r="I179" s="15"/>
      <c r="J179" s="15"/>
      <c r="K179" s="15"/>
      <c r="L179" s="15"/>
      <c r="M179" s="15"/>
      <c r="N179" s="15"/>
      <c r="O179" s="15"/>
      <c r="P179" s="16"/>
    </row>
    <row r="180" spans="1:16" ht="15" customHeight="1" x14ac:dyDescent="0.25">
      <c r="A180" s="234"/>
      <c r="B180" s="14">
        <v>46166</v>
      </c>
      <c r="C180" s="17" t="s">
        <v>20</v>
      </c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6"/>
    </row>
    <row r="181" spans="1:16" ht="15" customHeight="1" x14ac:dyDescent="0.25">
      <c r="A181" s="232">
        <v>10</v>
      </c>
      <c r="B181" s="235" t="s">
        <v>0</v>
      </c>
      <c r="C181" s="235" t="s">
        <v>65</v>
      </c>
      <c r="D181" s="237" t="s">
        <v>1</v>
      </c>
      <c r="E181" s="238"/>
      <c r="F181" s="238"/>
      <c r="G181" s="238"/>
      <c r="H181" s="238"/>
      <c r="I181" s="238"/>
      <c r="J181" s="238"/>
      <c r="K181" s="238"/>
      <c r="L181" s="238"/>
      <c r="M181" s="238"/>
      <c r="N181" s="238"/>
      <c r="O181" s="239"/>
      <c r="P181" s="12" t="s">
        <v>2</v>
      </c>
    </row>
    <row r="182" spans="1:16" ht="15" customHeight="1" x14ac:dyDescent="0.25">
      <c r="A182" s="233"/>
      <c r="B182" s="236"/>
      <c r="C182" s="236"/>
      <c r="D182" s="13">
        <v>0.375</v>
      </c>
      <c r="E182" s="13">
        <v>0.45833333333333331</v>
      </c>
      <c r="F182" s="13">
        <v>0.54166666666666696</v>
      </c>
      <c r="G182" s="13">
        <v>0.625</v>
      </c>
      <c r="H182" s="13">
        <v>0.70833333333333304</v>
      </c>
      <c r="I182" s="13">
        <v>0.79166666666666696</v>
      </c>
      <c r="J182" s="13">
        <v>0.875</v>
      </c>
      <c r="K182" s="13">
        <v>0.95833333333333304</v>
      </c>
      <c r="L182" s="13">
        <v>1.0416666666666701</v>
      </c>
      <c r="M182" s="13">
        <v>1.125</v>
      </c>
      <c r="N182" s="13">
        <v>1.2083333333333299</v>
      </c>
      <c r="O182" s="13">
        <v>1.2916666666666601</v>
      </c>
      <c r="P182" s="12"/>
    </row>
    <row r="183" spans="1:16" ht="15" customHeight="1" x14ac:dyDescent="0.25">
      <c r="A183" s="233"/>
      <c r="B183" s="14">
        <v>46149</v>
      </c>
      <c r="C183" s="12" t="s">
        <v>3</v>
      </c>
      <c r="D183" s="15"/>
      <c r="E183" s="15"/>
      <c r="F183" s="15"/>
      <c r="G183" s="15"/>
      <c r="H183" s="15"/>
      <c r="I183" s="15">
        <v>32.9</v>
      </c>
      <c r="J183" s="15"/>
      <c r="K183" s="15">
        <v>32.6</v>
      </c>
      <c r="L183" s="15"/>
      <c r="M183" s="15">
        <v>32.700000000000003</v>
      </c>
      <c r="N183" s="15"/>
      <c r="O183" s="15">
        <v>32.6</v>
      </c>
      <c r="P183" s="16"/>
    </row>
    <row r="184" spans="1:16" ht="15" customHeight="1" x14ac:dyDescent="0.25">
      <c r="A184" s="233"/>
      <c r="B184" s="14">
        <v>46150</v>
      </c>
      <c r="C184" s="12" t="s">
        <v>4</v>
      </c>
      <c r="D184" s="15"/>
      <c r="E184" s="15">
        <v>33.700000000000003</v>
      </c>
      <c r="F184" s="15"/>
      <c r="G184" s="15">
        <v>33.700000000000003</v>
      </c>
      <c r="H184" s="15"/>
      <c r="I184" s="15">
        <v>33.9</v>
      </c>
      <c r="J184" s="15"/>
      <c r="K184" s="15">
        <v>33.799999999999997</v>
      </c>
      <c r="L184" s="15"/>
      <c r="M184" s="15">
        <v>33.5</v>
      </c>
      <c r="N184" s="15"/>
      <c r="O184" s="15">
        <v>33.700000000000003</v>
      </c>
      <c r="P184" s="12"/>
    </row>
    <row r="185" spans="1:16" ht="15" customHeight="1" x14ac:dyDescent="0.25">
      <c r="A185" s="233"/>
      <c r="B185" s="14">
        <v>46151</v>
      </c>
      <c r="C185" s="12" t="s">
        <v>5</v>
      </c>
      <c r="D185" s="15">
        <v>34</v>
      </c>
      <c r="E185" s="15">
        <v>34</v>
      </c>
      <c r="F185" s="15">
        <v>34.1</v>
      </c>
      <c r="G185" s="15">
        <v>34.200000000000003</v>
      </c>
      <c r="H185" s="15">
        <v>33.9</v>
      </c>
      <c r="I185" s="15">
        <v>33.700000000000003</v>
      </c>
      <c r="J185" s="15">
        <v>33.9</v>
      </c>
      <c r="K185" s="15">
        <v>34</v>
      </c>
      <c r="L185" s="15">
        <v>33.799999999999997</v>
      </c>
      <c r="M185" s="15">
        <v>34</v>
      </c>
      <c r="N185" s="15">
        <v>33.700000000000003</v>
      </c>
      <c r="O185" s="15">
        <v>33.799999999999997</v>
      </c>
      <c r="P185" s="12"/>
    </row>
    <row r="186" spans="1:16" ht="15" customHeight="1" x14ac:dyDescent="0.25">
      <c r="A186" s="233"/>
      <c r="B186" s="14">
        <v>46152</v>
      </c>
      <c r="C186" s="12" t="s">
        <v>6</v>
      </c>
      <c r="D186" s="15">
        <v>34</v>
      </c>
      <c r="E186" s="15">
        <v>34.1</v>
      </c>
      <c r="F186" s="15">
        <v>34.200000000000003</v>
      </c>
      <c r="G186" s="15">
        <v>34.200000000000003</v>
      </c>
      <c r="H186" s="15">
        <v>34.200000000000003</v>
      </c>
      <c r="I186" s="15">
        <v>34</v>
      </c>
      <c r="J186" s="15">
        <v>33.700000000000003</v>
      </c>
      <c r="K186" s="15">
        <v>33.6</v>
      </c>
      <c r="L186" s="15">
        <v>33.6</v>
      </c>
      <c r="M186" s="15">
        <v>33.6</v>
      </c>
      <c r="N186" s="15">
        <v>33.6</v>
      </c>
      <c r="O186" s="15">
        <v>33.700000000000003</v>
      </c>
      <c r="P186" s="12"/>
    </row>
    <row r="187" spans="1:16" ht="15" customHeight="1" x14ac:dyDescent="0.25">
      <c r="A187" s="233"/>
      <c r="B187" s="14">
        <v>46153</v>
      </c>
      <c r="C187" s="12" t="s">
        <v>7</v>
      </c>
      <c r="D187" s="15">
        <v>34</v>
      </c>
      <c r="E187" s="15">
        <v>33.799999999999997</v>
      </c>
      <c r="F187" s="15">
        <v>33.700000000000003</v>
      </c>
      <c r="G187" s="15">
        <v>33.700000000000003</v>
      </c>
      <c r="H187" s="15">
        <v>33.9</v>
      </c>
      <c r="I187" s="15">
        <v>33.4</v>
      </c>
      <c r="J187" s="15">
        <v>33.200000000000003</v>
      </c>
      <c r="K187" s="15">
        <v>33</v>
      </c>
      <c r="L187" s="15">
        <v>32.6</v>
      </c>
      <c r="M187" s="15">
        <v>33</v>
      </c>
      <c r="N187" s="15">
        <v>32.6</v>
      </c>
      <c r="O187" s="15">
        <v>33</v>
      </c>
      <c r="P187" s="12"/>
    </row>
    <row r="188" spans="1:16" ht="15" customHeight="1" x14ac:dyDescent="0.25">
      <c r="A188" s="233"/>
      <c r="B188" s="14">
        <v>46154</v>
      </c>
      <c r="C188" s="12" t="s">
        <v>8</v>
      </c>
      <c r="D188" s="15">
        <v>32.799999999999997</v>
      </c>
      <c r="E188" s="15">
        <v>32.700000000000003</v>
      </c>
      <c r="F188" s="15">
        <v>32.799999999999997</v>
      </c>
      <c r="G188" s="15">
        <v>33</v>
      </c>
      <c r="H188" s="15">
        <v>32.799999999999997</v>
      </c>
      <c r="I188" s="15">
        <v>32.700000000000003</v>
      </c>
      <c r="J188" s="15">
        <v>32.9</v>
      </c>
      <c r="K188" s="15">
        <v>32.9</v>
      </c>
      <c r="L188" s="15">
        <v>33</v>
      </c>
      <c r="M188" s="15">
        <v>33</v>
      </c>
      <c r="N188" s="15">
        <v>32.6</v>
      </c>
      <c r="O188" s="15">
        <v>32.9</v>
      </c>
      <c r="P188" s="12"/>
    </row>
    <row r="189" spans="1:16" ht="15" customHeight="1" x14ac:dyDescent="0.25">
      <c r="A189" s="233"/>
      <c r="B189" s="14">
        <v>46155</v>
      </c>
      <c r="C189" s="12" t="s">
        <v>9</v>
      </c>
      <c r="D189" s="15">
        <v>32.6</v>
      </c>
      <c r="E189" s="15">
        <v>333</v>
      </c>
      <c r="F189" s="15">
        <v>3.1</v>
      </c>
      <c r="G189" s="15">
        <v>33.1</v>
      </c>
      <c r="H189" s="15">
        <v>33.1</v>
      </c>
      <c r="I189" s="15">
        <v>32.700000000000003</v>
      </c>
      <c r="J189" s="15">
        <v>32.299999999999997</v>
      </c>
      <c r="K189" s="15">
        <v>31.9</v>
      </c>
      <c r="L189" s="15">
        <v>31.6</v>
      </c>
      <c r="M189" s="15">
        <v>31.7</v>
      </c>
      <c r="N189" s="15">
        <v>31.9</v>
      </c>
      <c r="O189" s="15">
        <v>31.6</v>
      </c>
      <c r="P189" s="12"/>
    </row>
    <row r="190" spans="1:16" ht="15" customHeight="1" x14ac:dyDescent="0.25">
      <c r="A190" s="233"/>
      <c r="B190" s="14">
        <v>46156</v>
      </c>
      <c r="C190" s="12" t="s">
        <v>10</v>
      </c>
      <c r="D190" s="15">
        <v>31.8</v>
      </c>
      <c r="E190" s="15">
        <v>31.8</v>
      </c>
      <c r="F190" s="15">
        <v>32.4</v>
      </c>
      <c r="G190" s="15">
        <v>32.4</v>
      </c>
      <c r="H190" s="15">
        <v>32.4</v>
      </c>
      <c r="I190" s="15">
        <v>32.1</v>
      </c>
      <c r="J190" s="15">
        <v>31.8</v>
      </c>
      <c r="K190" s="15">
        <v>32</v>
      </c>
      <c r="L190" s="15">
        <v>31.7</v>
      </c>
      <c r="M190" s="15">
        <v>31.8</v>
      </c>
      <c r="N190" s="15">
        <v>31.6</v>
      </c>
      <c r="O190" s="15">
        <v>31.6</v>
      </c>
      <c r="P190" s="12"/>
    </row>
    <row r="191" spans="1:16" ht="15" customHeight="1" x14ac:dyDescent="0.25">
      <c r="A191" s="233"/>
      <c r="B191" s="14">
        <v>46157</v>
      </c>
      <c r="C191" s="12" t="s">
        <v>11</v>
      </c>
      <c r="D191" s="15">
        <v>32</v>
      </c>
      <c r="E191" s="15">
        <v>31.8</v>
      </c>
      <c r="F191" s="15">
        <v>32.1</v>
      </c>
      <c r="G191" s="15">
        <v>32.200000000000003</v>
      </c>
      <c r="H191" s="15">
        <v>32.5</v>
      </c>
      <c r="I191" s="15">
        <v>32.1</v>
      </c>
      <c r="J191" s="15">
        <v>31.7</v>
      </c>
      <c r="K191" s="15">
        <v>31.5</v>
      </c>
      <c r="L191" s="15">
        <v>31.1</v>
      </c>
      <c r="M191" s="15">
        <v>30.6</v>
      </c>
      <c r="N191" s="15">
        <v>30.5</v>
      </c>
      <c r="O191" s="15">
        <v>31</v>
      </c>
      <c r="P191" s="12"/>
    </row>
    <row r="192" spans="1:16" ht="15" customHeight="1" x14ac:dyDescent="0.25">
      <c r="A192" s="233"/>
      <c r="B192" s="14">
        <v>46158</v>
      </c>
      <c r="C192" s="12" t="s">
        <v>12</v>
      </c>
      <c r="D192" s="15">
        <v>30.8</v>
      </c>
      <c r="E192" s="15">
        <v>30.6</v>
      </c>
      <c r="F192" s="15">
        <v>30.6</v>
      </c>
      <c r="G192" s="15">
        <v>30.6</v>
      </c>
      <c r="H192" s="15">
        <v>30.6</v>
      </c>
      <c r="I192" s="15">
        <v>30.6</v>
      </c>
      <c r="J192" s="15">
        <v>30.5</v>
      </c>
      <c r="K192" s="15">
        <v>31</v>
      </c>
      <c r="L192" s="15">
        <v>30.7</v>
      </c>
      <c r="M192" s="15">
        <v>30.8</v>
      </c>
      <c r="N192" s="15">
        <v>30.6</v>
      </c>
      <c r="O192" s="15">
        <v>30.9</v>
      </c>
      <c r="P192" s="12"/>
    </row>
    <row r="193" spans="1:16" ht="15" customHeight="1" x14ac:dyDescent="0.25">
      <c r="A193" s="233"/>
      <c r="B193" s="14">
        <v>46159</v>
      </c>
      <c r="C193" s="12" t="s">
        <v>13</v>
      </c>
      <c r="D193" s="15">
        <v>30.9</v>
      </c>
      <c r="E193" s="15">
        <v>30.8</v>
      </c>
      <c r="F193" s="15">
        <v>31.2</v>
      </c>
      <c r="G193" s="15">
        <v>31.3</v>
      </c>
      <c r="H193" s="15">
        <v>31.7</v>
      </c>
      <c r="I193" s="15">
        <v>31.5</v>
      </c>
      <c r="J193" s="15">
        <v>31.4</v>
      </c>
      <c r="K193" s="15">
        <v>31.3</v>
      </c>
      <c r="L193" s="15">
        <v>30.9</v>
      </c>
      <c r="M193" s="15">
        <v>30.8</v>
      </c>
      <c r="N193" s="15">
        <v>30.4</v>
      </c>
      <c r="O193" s="15">
        <v>30.3</v>
      </c>
      <c r="P193" s="12"/>
    </row>
    <row r="194" spans="1:16" ht="15" customHeight="1" x14ac:dyDescent="0.25">
      <c r="A194" s="233"/>
      <c r="B194" s="14">
        <v>46160</v>
      </c>
      <c r="C194" s="12" t="s">
        <v>14</v>
      </c>
      <c r="D194" s="15">
        <v>30</v>
      </c>
      <c r="E194" s="15">
        <v>30.3</v>
      </c>
      <c r="F194" s="15">
        <v>31.3</v>
      </c>
      <c r="G194" s="15">
        <v>31.6</v>
      </c>
      <c r="H194" s="15">
        <v>31.8</v>
      </c>
      <c r="I194" s="15">
        <v>31.7</v>
      </c>
      <c r="J194" s="15">
        <v>31.4</v>
      </c>
      <c r="K194" s="15">
        <v>31.1</v>
      </c>
      <c r="L194" s="15">
        <v>30.9</v>
      </c>
      <c r="M194" s="15">
        <v>30.6</v>
      </c>
      <c r="N194" s="15">
        <v>30.2</v>
      </c>
      <c r="O194" s="15">
        <v>30</v>
      </c>
      <c r="P194" s="12"/>
    </row>
    <row r="195" spans="1:16" ht="15" customHeight="1" x14ac:dyDescent="0.25">
      <c r="A195" s="233"/>
      <c r="B195" s="14">
        <v>46161</v>
      </c>
      <c r="C195" s="12" t="s">
        <v>15</v>
      </c>
      <c r="D195" s="15">
        <v>29.9</v>
      </c>
      <c r="E195" s="15">
        <v>30.2</v>
      </c>
      <c r="F195" s="15">
        <v>31.1</v>
      </c>
      <c r="G195" s="15">
        <v>31.6</v>
      </c>
      <c r="H195" s="15">
        <v>31.6</v>
      </c>
      <c r="I195" s="15">
        <v>31.5</v>
      </c>
      <c r="J195" s="15">
        <v>31.3</v>
      </c>
      <c r="K195" s="15">
        <v>31</v>
      </c>
      <c r="L195" s="15">
        <v>30.8</v>
      </c>
      <c r="M195" s="15">
        <v>30.7</v>
      </c>
      <c r="N195" s="15">
        <v>30.4</v>
      </c>
      <c r="O195" s="15">
        <v>30.2</v>
      </c>
      <c r="P195" s="12"/>
    </row>
    <row r="196" spans="1:16" ht="15" customHeight="1" x14ac:dyDescent="0.25">
      <c r="A196" s="233"/>
      <c r="B196" s="14">
        <v>46162</v>
      </c>
      <c r="C196" s="12" t="s">
        <v>16</v>
      </c>
      <c r="D196" s="15">
        <v>30.1</v>
      </c>
      <c r="E196" s="15">
        <v>30.1</v>
      </c>
      <c r="F196" s="15">
        <v>30.6</v>
      </c>
      <c r="G196" s="15">
        <v>30.8</v>
      </c>
      <c r="H196" s="15">
        <v>30.6</v>
      </c>
      <c r="I196" s="15">
        <v>30.8</v>
      </c>
      <c r="J196" s="15">
        <v>30.7</v>
      </c>
      <c r="K196" s="15">
        <v>30.6</v>
      </c>
      <c r="L196" s="15">
        <v>30</v>
      </c>
      <c r="M196" s="15">
        <v>30</v>
      </c>
      <c r="N196" s="15">
        <v>29.8</v>
      </c>
      <c r="O196" s="15">
        <v>29.7</v>
      </c>
      <c r="P196" s="16"/>
    </row>
    <row r="197" spans="1:16" ht="15" customHeight="1" x14ac:dyDescent="0.25">
      <c r="A197" s="233"/>
      <c r="B197" s="14">
        <v>46163</v>
      </c>
      <c r="C197" s="12" t="s">
        <v>17</v>
      </c>
      <c r="D197" s="15">
        <v>30</v>
      </c>
      <c r="E197" s="15">
        <v>30.2</v>
      </c>
      <c r="F197" s="15">
        <v>30.4</v>
      </c>
      <c r="G197" s="15">
        <v>30.7</v>
      </c>
      <c r="H197" s="15">
        <v>30.7</v>
      </c>
      <c r="I197" s="15">
        <v>31.1</v>
      </c>
      <c r="J197" s="15">
        <v>30.7</v>
      </c>
      <c r="K197" s="15">
        <v>30.6</v>
      </c>
      <c r="L197" s="15">
        <v>30.2</v>
      </c>
      <c r="M197" s="15">
        <v>30</v>
      </c>
      <c r="N197" s="15">
        <v>29.8</v>
      </c>
      <c r="O197" s="15">
        <v>29.6</v>
      </c>
      <c r="P197" s="16"/>
    </row>
    <row r="198" spans="1:16" ht="15" customHeight="1" x14ac:dyDescent="0.25">
      <c r="A198" s="233"/>
      <c r="B198" s="14">
        <v>46164</v>
      </c>
      <c r="C198" s="17" t="s">
        <v>18</v>
      </c>
      <c r="D198" s="15">
        <v>30</v>
      </c>
      <c r="E198" s="15">
        <v>30.2</v>
      </c>
      <c r="F198" s="15">
        <v>30.9</v>
      </c>
      <c r="G198" s="15">
        <v>31</v>
      </c>
      <c r="H198" s="15">
        <v>31.1</v>
      </c>
      <c r="I198" s="15">
        <v>31.1</v>
      </c>
      <c r="J198" s="15">
        <v>30.8</v>
      </c>
      <c r="K198" s="15">
        <v>30.6</v>
      </c>
      <c r="L198" s="15">
        <v>30.4</v>
      </c>
      <c r="M198" s="15">
        <v>30.1</v>
      </c>
      <c r="N198" s="15">
        <v>29.8</v>
      </c>
      <c r="O198" s="15">
        <v>30</v>
      </c>
      <c r="P198" s="16"/>
    </row>
    <row r="199" spans="1:16" ht="15" customHeight="1" x14ac:dyDescent="0.25">
      <c r="A199" s="233"/>
      <c r="B199" s="14">
        <v>46165</v>
      </c>
      <c r="C199" s="17" t="s">
        <v>19</v>
      </c>
      <c r="D199" s="15">
        <v>29.7</v>
      </c>
      <c r="E199" s="15">
        <v>30.2</v>
      </c>
      <c r="F199" s="15">
        <v>30.8</v>
      </c>
      <c r="G199" s="15">
        <v>30.8</v>
      </c>
      <c r="H199" s="15">
        <v>30.9</v>
      </c>
      <c r="I199" s="15"/>
      <c r="J199" s="15"/>
      <c r="K199" s="15"/>
      <c r="L199" s="15"/>
      <c r="M199" s="15"/>
      <c r="N199" s="15"/>
      <c r="O199" s="15"/>
      <c r="P199" s="16"/>
    </row>
    <row r="200" spans="1:16" ht="15" customHeight="1" x14ac:dyDescent="0.25">
      <c r="A200" s="234"/>
      <c r="B200" s="14">
        <v>46166</v>
      </c>
      <c r="C200" s="17" t="s">
        <v>20</v>
      </c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6"/>
    </row>
    <row r="201" spans="1:16" ht="15" customHeight="1" x14ac:dyDescent="0.25">
      <c r="A201" s="232">
        <v>11</v>
      </c>
      <c r="B201" s="235" t="s">
        <v>0</v>
      </c>
      <c r="C201" s="235" t="s">
        <v>65</v>
      </c>
      <c r="D201" s="237" t="s">
        <v>1</v>
      </c>
      <c r="E201" s="238"/>
      <c r="F201" s="238"/>
      <c r="G201" s="238"/>
      <c r="H201" s="238"/>
      <c r="I201" s="238"/>
      <c r="J201" s="238"/>
      <c r="K201" s="238"/>
      <c r="L201" s="238"/>
      <c r="M201" s="238"/>
      <c r="N201" s="238"/>
      <c r="O201" s="239"/>
      <c r="P201" s="12" t="s">
        <v>2</v>
      </c>
    </row>
    <row r="202" spans="1:16" ht="15" customHeight="1" x14ac:dyDescent="0.25">
      <c r="A202" s="233"/>
      <c r="B202" s="236"/>
      <c r="C202" s="236"/>
      <c r="D202" s="13">
        <v>0.375</v>
      </c>
      <c r="E202" s="13">
        <v>0.45833333333333331</v>
      </c>
      <c r="F202" s="13">
        <v>0.54166666666666696</v>
      </c>
      <c r="G202" s="13">
        <v>0.625</v>
      </c>
      <c r="H202" s="13">
        <v>0.70833333333333304</v>
      </c>
      <c r="I202" s="13">
        <v>0.79166666666666696</v>
      </c>
      <c r="J202" s="13">
        <v>0.875</v>
      </c>
      <c r="K202" s="13">
        <v>0.95833333333333304</v>
      </c>
      <c r="L202" s="13">
        <v>1.0416666666666701</v>
      </c>
      <c r="M202" s="13">
        <v>1.125</v>
      </c>
      <c r="N202" s="13">
        <v>1.2083333333333299</v>
      </c>
      <c r="O202" s="13">
        <v>1.2916666666666601</v>
      </c>
      <c r="P202" s="12"/>
    </row>
    <row r="203" spans="1:16" ht="15" customHeight="1" x14ac:dyDescent="0.25">
      <c r="A203" s="233"/>
      <c r="B203" s="14">
        <v>46149</v>
      </c>
      <c r="C203" s="12" t="s">
        <v>3</v>
      </c>
      <c r="D203" s="15"/>
      <c r="E203" s="15"/>
      <c r="F203" s="15"/>
      <c r="G203" s="15"/>
      <c r="H203" s="15"/>
      <c r="I203" s="15">
        <v>32.9</v>
      </c>
      <c r="J203" s="15"/>
      <c r="K203" s="15">
        <v>32.6</v>
      </c>
      <c r="L203" s="15"/>
      <c r="M203" s="15">
        <v>32.6</v>
      </c>
      <c r="N203" s="15"/>
      <c r="O203" s="15">
        <v>32.5</v>
      </c>
      <c r="P203" s="16"/>
    </row>
    <row r="204" spans="1:16" ht="15" customHeight="1" x14ac:dyDescent="0.25">
      <c r="A204" s="233"/>
      <c r="B204" s="14">
        <v>46150</v>
      </c>
      <c r="C204" s="12" t="s">
        <v>4</v>
      </c>
      <c r="D204" s="15"/>
      <c r="E204" s="15">
        <v>33.799999999999997</v>
      </c>
      <c r="F204" s="15"/>
      <c r="G204" s="15">
        <v>33.799999999999997</v>
      </c>
      <c r="H204" s="15"/>
      <c r="I204" s="15">
        <v>34</v>
      </c>
      <c r="J204" s="15"/>
      <c r="K204" s="15">
        <v>34</v>
      </c>
      <c r="L204" s="15"/>
      <c r="M204" s="15">
        <v>34</v>
      </c>
      <c r="N204" s="15"/>
      <c r="O204" s="15">
        <v>33.6</v>
      </c>
      <c r="P204" s="12"/>
    </row>
    <row r="205" spans="1:16" ht="15" customHeight="1" x14ac:dyDescent="0.25">
      <c r="A205" s="233"/>
      <c r="B205" s="14">
        <v>46151</v>
      </c>
      <c r="C205" s="12" t="s">
        <v>5</v>
      </c>
      <c r="D205" s="15">
        <v>34</v>
      </c>
      <c r="E205" s="15">
        <v>34</v>
      </c>
      <c r="F205" s="15">
        <v>34</v>
      </c>
      <c r="G205" s="15">
        <v>34.200000000000003</v>
      </c>
      <c r="H205" s="15">
        <v>34</v>
      </c>
      <c r="I205" s="15">
        <v>33.700000000000003</v>
      </c>
      <c r="J205" s="15">
        <v>34</v>
      </c>
      <c r="K205" s="15">
        <v>33.700000000000003</v>
      </c>
      <c r="L205" s="15">
        <v>34</v>
      </c>
      <c r="M205" s="15">
        <v>33.799999999999997</v>
      </c>
      <c r="N205" s="15">
        <v>34</v>
      </c>
      <c r="O205" s="15">
        <v>33.700000000000003</v>
      </c>
      <c r="P205" s="12"/>
    </row>
    <row r="206" spans="1:16" ht="15" customHeight="1" x14ac:dyDescent="0.25">
      <c r="A206" s="233"/>
      <c r="B206" s="14">
        <v>46152</v>
      </c>
      <c r="C206" s="12" t="s">
        <v>6</v>
      </c>
      <c r="D206" s="15">
        <v>33.9</v>
      </c>
      <c r="E206" s="15">
        <v>34</v>
      </c>
      <c r="F206" s="15">
        <v>34</v>
      </c>
      <c r="G206" s="15">
        <v>34.1</v>
      </c>
      <c r="H206" s="15">
        <v>34.299999999999997</v>
      </c>
      <c r="I206" s="15">
        <v>34</v>
      </c>
      <c r="J206" s="15">
        <v>33.700000000000003</v>
      </c>
      <c r="K206" s="15">
        <v>34</v>
      </c>
      <c r="L206" s="15">
        <v>33.700000000000003</v>
      </c>
      <c r="M206" s="15">
        <v>33.700000000000003</v>
      </c>
      <c r="N206" s="15">
        <v>33.700000000000003</v>
      </c>
      <c r="O206" s="15">
        <v>34</v>
      </c>
      <c r="P206" s="12"/>
    </row>
    <row r="207" spans="1:16" ht="15" customHeight="1" x14ac:dyDescent="0.25">
      <c r="A207" s="233"/>
      <c r="B207" s="14">
        <v>46153</v>
      </c>
      <c r="C207" s="12" t="s">
        <v>7</v>
      </c>
      <c r="D207" s="15">
        <v>32.700000000000003</v>
      </c>
      <c r="E207" s="15">
        <v>34</v>
      </c>
      <c r="F207" s="15">
        <v>34</v>
      </c>
      <c r="G207" s="15">
        <v>34.200000000000003</v>
      </c>
      <c r="H207" s="15">
        <v>34.200000000000003</v>
      </c>
      <c r="I207" s="15">
        <v>33.700000000000003</v>
      </c>
      <c r="J207" s="15">
        <v>33.5</v>
      </c>
      <c r="K207" s="15">
        <v>33.200000000000003</v>
      </c>
      <c r="L207" s="15">
        <v>32.700000000000003</v>
      </c>
      <c r="M207" s="15">
        <v>33</v>
      </c>
      <c r="N207" s="15">
        <v>32.6</v>
      </c>
      <c r="O207" s="15">
        <v>33</v>
      </c>
      <c r="P207" s="12"/>
    </row>
    <row r="208" spans="1:16" ht="15" customHeight="1" x14ac:dyDescent="0.25">
      <c r="A208" s="233"/>
      <c r="B208" s="14">
        <v>46154</v>
      </c>
      <c r="C208" s="12" t="s">
        <v>8</v>
      </c>
      <c r="D208" s="15">
        <v>32.799999999999997</v>
      </c>
      <c r="E208" s="15">
        <v>32.6</v>
      </c>
      <c r="F208" s="15">
        <v>32.6</v>
      </c>
      <c r="G208" s="15">
        <v>32.9</v>
      </c>
      <c r="H208" s="15">
        <v>32.9</v>
      </c>
      <c r="I208" s="15">
        <v>32.6</v>
      </c>
      <c r="J208" s="15">
        <v>33</v>
      </c>
      <c r="K208" s="15">
        <v>32.6</v>
      </c>
      <c r="L208" s="15">
        <v>32.700000000000003</v>
      </c>
      <c r="M208" s="15">
        <v>32.9</v>
      </c>
      <c r="N208" s="15">
        <v>33</v>
      </c>
      <c r="O208" s="15">
        <v>32.799999999999997</v>
      </c>
      <c r="P208" s="12"/>
    </row>
    <row r="209" spans="1:16" ht="15" customHeight="1" x14ac:dyDescent="0.25">
      <c r="A209" s="233"/>
      <c r="B209" s="14">
        <v>46155</v>
      </c>
      <c r="C209" s="12" t="s">
        <v>9</v>
      </c>
      <c r="D209" s="15">
        <v>33</v>
      </c>
      <c r="E209" s="15">
        <v>33</v>
      </c>
      <c r="F209" s="15">
        <v>33</v>
      </c>
      <c r="G209" s="15">
        <v>33.1</v>
      </c>
      <c r="H209" s="15">
        <v>33.1</v>
      </c>
      <c r="I209" s="15">
        <v>32.9</v>
      </c>
      <c r="J209" s="15">
        <v>32.5</v>
      </c>
      <c r="K209" s="15">
        <v>32.299999999999997</v>
      </c>
      <c r="L209" s="15">
        <v>31.8</v>
      </c>
      <c r="M209" s="15">
        <v>31.8</v>
      </c>
      <c r="N209" s="15">
        <v>31.6</v>
      </c>
      <c r="O209" s="15">
        <v>31.9</v>
      </c>
      <c r="P209" s="12"/>
    </row>
    <row r="210" spans="1:16" ht="15" customHeight="1" x14ac:dyDescent="0.25">
      <c r="A210" s="233"/>
      <c r="B210" s="14">
        <v>46156</v>
      </c>
      <c r="C210" s="12" t="s">
        <v>10</v>
      </c>
      <c r="D210" s="15">
        <v>31.6</v>
      </c>
      <c r="E210" s="15">
        <v>31.6</v>
      </c>
      <c r="F210" s="15">
        <v>32.1</v>
      </c>
      <c r="G210" s="15">
        <v>32.299999999999997</v>
      </c>
      <c r="H210" s="15">
        <v>32.4</v>
      </c>
      <c r="I210" s="15">
        <v>32.299999999999997</v>
      </c>
      <c r="J210" s="15">
        <v>32.1</v>
      </c>
      <c r="K210" s="15">
        <v>31.7</v>
      </c>
      <c r="L210" s="15">
        <v>31.8</v>
      </c>
      <c r="M210" s="15">
        <v>31.8</v>
      </c>
      <c r="N210" s="15">
        <v>31.5</v>
      </c>
      <c r="O210" s="15">
        <v>31.8</v>
      </c>
      <c r="P210" s="12"/>
    </row>
    <row r="211" spans="1:16" ht="15" customHeight="1" x14ac:dyDescent="0.25">
      <c r="A211" s="233"/>
      <c r="B211" s="14">
        <v>46157</v>
      </c>
      <c r="C211" s="12" t="s">
        <v>11</v>
      </c>
      <c r="D211" s="15">
        <v>31.6</v>
      </c>
      <c r="E211" s="15">
        <v>32</v>
      </c>
      <c r="F211" s="15">
        <v>32.4</v>
      </c>
      <c r="G211" s="15">
        <v>32.6</v>
      </c>
      <c r="H211" s="15">
        <v>32.6</v>
      </c>
      <c r="I211" s="15">
        <v>32.200000000000003</v>
      </c>
      <c r="J211" s="15">
        <v>31.8</v>
      </c>
      <c r="K211" s="15">
        <v>31.5</v>
      </c>
      <c r="L211" s="15">
        <v>31.2</v>
      </c>
      <c r="M211" s="15">
        <v>30.7</v>
      </c>
      <c r="N211" s="15">
        <v>30.8</v>
      </c>
      <c r="O211" s="15">
        <v>31</v>
      </c>
      <c r="P211" s="12"/>
    </row>
    <row r="212" spans="1:16" ht="15" customHeight="1" x14ac:dyDescent="0.25">
      <c r="A212" s="233"/>
      <c r="B212" s="14">
        <v>46158</v>
      </c>
      <c r="C212" s="12" t="s">
        <v>12</v>
      </c>
      <c r="D212" s="15">
        <v>30.7</v>
      </c>
      <c r="E212" s="15">
        <v>31</v>
      </c>
      <c r="F212" s="15">
        <v>31</v>
      </c>
      <c r="G212" s="15">
        <v>31</v>
      </c>
      <c r="H212" s="15">
        <v>30.7</v>
      </c>
      <c r="I212" s="15">
        <v>30.6</v>
      </c>
      <c r="J212" s="15">
        <v>31</v>
      </c>
      <c r="K212" s="15">
        <v>30.7</v>
      </c>
      <c r="L212" s="15">
        <v>30.8</v>
      </c>
      <c r="M212" s="15">
        <v>30.6</v>
      </c>
      <c r="N212" s="15">
        <v>31</v>
      </c>
      <c r="O212" s="15">
        <v>30.8</v>
      </c>
      <c r="P212" s="12"/>
    </row>
    <row r="213" spans="1:16" ht="15" customHeight="1" x14ac:dyDescent="0.25">
      <c r="A213" s="233"/>
      <c r="B213" s="14">
        <v>46159</v>
      </c>
      <c r="C213" s="12" t="s">
        <v>13</v>
      </c>
      <c r="D213" s="15">
        <v>30.7</v>
      </c>
      <c r="E213" s="15">
        <v>30.7</v>
      </c>
      <c r="F213" s="15">
        <v>31</v>
      </c>
      <c r="G213" s="15">
        <v>31.2</v>
      </c>
      <c r="H213" s="15">
        <v>31.5</v>
      </c>
      <c r="I213" s="15">
        <v>31.5</v>
      </c>
      <c r="J213" s="15">
        <v>31.3</v>
      </c>
      <c r="K213" s="15">
        <v>31</v>
      </c>
      <c r="L213" s="15">
        <v>30.8</v>
      </c>
      <c r="M213" s="15">
        <v>30.6</v>
      </c>
      <c r="N213" s="15">
        <v>30.3</v>
      </c>
      <c r="O213" s="15">
        <v>30.3</v>
      </c>
      <c r="P213" s="12"/>
    </row>
    <row r="214" spans="1:16" ht="15" customHeight="1" x14ac:dyDescent="0.25">
      <c r="A214" s="233"/>
      <c r="B214" s="14">
        <v>46160</v>
      </c>
      <c r="C214" s="12" t="s">
        <v>14</v>
      </c>
      <c r="D214" s="15">
        <v>30.3</v>
      </c>
      <c r="E214" s="15">
        <v>30.9</v>
      </c>
      <c r="F214" s="15">
        <v>31.8</v>
      </c>
      <c r="G214" s="15">
        <v>32.200000000000003</v>
      </c>
      <c r="H214" s="15">
        <v>32.200000000000003</v>
      </c>
      <c r="I214" s="15">
        <v>32.1</v>
      </c>
      <c r="J214" s="15">
        <v>31.9</v>
      </c>
      <c r="K214" s="15">
        <v>31.4</v>
      </c>
      <c r="L214" s="15">
        <v>31.1</v>
      </c>
      <c r="M214" s="15">
        <v>30.9</v>
      </c>
      <c r="N214" s="15">
        <v>30.6</v>
      </c>
      <c r="O214" s="15">
        <v>30.3</v>
      </c>
      <c r="P214" s="12"/>
    </row>
    <row r="215" spans="1:16" ht="15" customHeight="1" x14ac:dyDescent="0.25">
      <c r="A215" s="233"/>
      <c r="B215" s="14">
        <v>46161</v>
      </c>
      <c r="C215" s="12" t="s">
        <v>15</v>
      </c>
      <c r="D215" s="15">
        <v>30.3</v>
      </c>
      <c r="E215" s="15">
        <v>30.7</v>
      </c>
      <c r="F215" s="15">
        <v>31.6</v>
      </c>
      <c r="G215" s="15">
        <v>31.9</v>
      </c>
      <c r="H215" s="15">
        <v>32</v>
      </c>
      <c r="I215" s="15">
        <v>31.9</v>
      </c>
      <c r="J215" s="15">
        <v>31.7</v>
      </c>
      <c r="K215" s="15">
        <v>31.3</v>
      </c>
      <c r="L215" s="15">
        <v>31.3</v>
      </c>
      <c r="M215" s="15">
        <v>31.1</v>
      </c>
      <c r="N215" s="15">
        <v>30.8</v>
      </c>
      <c r="O215" s="15">
        <v>30.5</v>
      </c>
      <c r="P215" s="12"/>
    </row>
    <row r="216" spans="1:16" ht="15" customHeight="1" x14ac:dyDescent="0.25">
      <c r="A216" s="233"/>
      <c r="B216" s="14">
        <v>46162</v>
      </c>
      <c r="C216" s="12" t="s">
        <v>16</v>
      </c>
      <c r="D216" s="15">
        <v>30.4</v>
      </c>
      <c r="E216" s="15">
        <v>30.4</v>
      </c>
      <c r="F216" s="15">
        <v>30.6</v>
      </c>
      <c r="G216" s="15">
        <v>31.1</v>
      </c>
      <c r="H216" s="15">
        <v>31.2</v>
      </c>
      <c r="I216" s="15">
        <v>31.2</v>
      </c>
      <c r="J216" s="15">
        <v>31</v>
      </c>
      <c r="K216" s="15">
        <v>30.9</v>
      </c>
      <c r="L216" s="15">
        <v>30.4</v>
      </c>
      <c r="M216" s="15">
        <v>30.4</v>
      </c>
      <c r="N216" s="15">
        <v>30.3</v>
      </c>
      <c r="O216" s="15">
        <v>29.9</v>
      </c>
      <c r="P216" s="16"/>
    </row>
    <row r="217" spans="1:16" ht="15" customHeight="1" x14ac:dyDescent="0.25">
      <c r="A217" s="233"/>
      <c r="B217" s="14">
        <v>46163</v>
      </c>
      <c r="C217" s="12" t="s">
        <v>17</v>
      </c>
      <c r="D217" s="15">
        <v>30</v>
      </c>
      <c r="E217" s="15">
        <v>30.3</v>
      </c>
      <c r="F217" s="15">
        <v>30.6</v>
      </c>
      <c r="G217" s="15">
        <v>30.8</v>
      </c>
      <c r="H217" s="15">
        <v>30.8</v>
      </c>
      <c r="I217" s="15">
        <v>30.8</v>
      </c>
      <c r="J217" s="15">
        <v>30.8</v>
      </c>
      <c r="K217" s="15">
        <v>30.7</v>
      </c>
      <c r="L217" s="15">
        <v>30.5</v>
      </c>
      <c r="M217" s="15">
        <v>30.3</v>
      </c>
      <c r="N217" s="15">
        <v>30.3</v>
      </c>
      <c r="O217" s="15">
        <v>30</v>
      </c>
      <c r="P217" s="16"/>
    </row>
    <row r="218" spans="1:16" ht="15" customHeight="1" x14ac:dyDescent="0.25">
      <c r="A218" s="233"/>
      <c r="B218" s="14">
        <v>46164</v>
      </c>
      <c r="C218" s="17" t="s">
        <v>18</v>
      </c>
      <c r="D218" s="15">
        <v>29.9</v>
      </c>
      <c r="E218" s="15">
        <v>30.2</v>
      </c>
      <c r="F218" s="15">
        <v>31.1</v>
      </c>
      <c r="G218" s="15">
        <v>31.1</v>
      </c>
      <c r="H218" s="15">
        <v>31.1</v>
      </c>
      <c r="I218" s="15">
        <v>31.1</v>
      </c>
      <c r="J218" s="15">
        <v>31.1</v>
      </c>
      <c r="K218" s="15">
        <v>30.9</v>
      </c>
      <c r="L218" s="15">
        <v>30.7</v>
      </c>
      <c r="M218" s="15">
        <v>30.3</v>
      </c>
      <c r="N218" s="15">
        <v>30.2</v>
      </c>
      <c r="O218" s="15">
        <v>29.9</v>
      </c>
      <c r="P218" s="16"/>
    </row>
    <row r="219" spans="1:16" ht="15" customHeight="1" x14ac:dyDescent="0.25">
      <c r="A219" s="233"/>
      <c r="B219" s="14">
        <v>46165</v>
      </c>
      <c r="C219" s="17" t="s">
        <v>19</v>
      </c>
      <c r="D219" s="15">
        <v>29.6</v>
      </c>
      <c r="E219" s="15">
        <v>30.5</v>
      </c>
      <c r="F219" s="15">
        <v>31.1</v>
      </c>
      <c r="G219" s="15">
        <v>31.1</v>
      </c>
      <c r="H219" s="15">
        <v>31.2</v>
      </c>
      <c r="I219" s="15"/>
      <c r="J219" s="15"/>
      <c r="K219" s="15"/>
      <c r="L219" s="15"/>
      <c r="M219" s="15"/>
      <c r="N219" s="15"/>
      <c r="O219" s="15"/>
      <c r="P219" s="16"/>
    </row>
    <row r="220" spans="1:16" ht="15" customHeight="1" x14ac:dyDescent="0.25">
      <c r="A220" s="234"/>
      <c r="B220" s="14">
        <v>46166</v>
      </c>
      <c r="C220" s="17" t="s">
        <v>20</v>
      </c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6"/>
    </row>
    <row r="221" spans="1:16" ht="15" customHeight="1" x14ac:dyDescent="0.25">
      <c r="A221" s="232">
        <v>12</v>
      </c>
      <c r="B221" s="235" t="s">
        <v>0</v>
      </c>
      <c r="C221" s="235" t="s">
        <v>65</v>
      </c>
      <c r="D221" s="237" t="s">
        <v>1</v>
      </c>
      <c r="E221" s="238"/>
      <c r="F221" s="238"/>
      <c r="G221" s="238"/>
      <c r="H221" s="238"/>
      <c r="I221" s="238"/>
      <c r="J221" s="238"/>
      <c r="K221" s="238"/>
      <c r="L221" s="238"/>
      <c r="M221" s="238"/>
      <c r="N221" s="238"/>
      <c r="O221" s="239"/>
      <c r="P221" s="12" t="s">
        <v>2</v>
      </c>
    </row>
    <row r="222" spans="1:16" ht="15" customHeight="1" x14ac:dyDescent="0.25">
      <c r="A222" s="233"/>
      <c r="B222" s="236"/>
      <c r="C222" s="236"/>
      <c r="D222" s="13">
        <v>0.375</v>
      </c>
      <c r="E222" s="13">
        <v>0.45833333333333331</v>
      </c>
      <c r="F222" s="13">
        <v>0.54166666666666696</v>
      </c>
      <c r="G222" s="13">
        <v>0.625</v>
      </c>
      <c r="H222" s="13">
        <v>0.70833333333333304</v>
      </c>
      <c r="I222" s="13">
        <v>0.79166666666666696</v>
      </c>
      <c r="J222" s="13">
        <v>0.875</v>
      </c>
      <c r="K222" s="13">
        <v>0.95833333333333304</v>
      </c>
      <c r="L222" s="13">
        <v>1.0416666666666701</v>
      </c>
      <c r="M222" s="13">
        <v>1.125</v>
      </c>
      <c r="N222" s="13">
        <v>1.2083333333333299</v>
      </c>
      <c r="O222" s="13">
        <v>1.2916666666666601</v>
      </c>
      <c r="P222" s="12"/>
    </row>
    <row r="223" spans="1:16" ht="15" customHeight="1" x14ac:dyDescent="0.25">
      <c r="A223" s="233"/>
      <c r="B223" s="14">
        <v>46149</v>
      </c>
      <c r="C223" s="12" t="s">
        <v>3</v>
      </c>
      <c r="D223" s="15"/>
      <c r="E223" s="15"/>
      <c r="F223" s="15"/>
      <c r="G223" s="15"/>
      <c r="H223" s="15"/>
      <c r="I223" s="15">
        <v>32.9</v>
      </c>
      <c r="J223" s="15"/>
      <c r="K223" s="15">
        <v>32.6</v>
      </c>
      <c r="L223" s="15"/>
      <c r="M223" s="15">
        <v>32.6</v>
      </c>
      <c r="N223" s="15"/>
      <c r="O223" s="15">
        <v>32.5</v>
      </c>
      <c r="P223" s="16"/>
    </row>
    <row r="224" spans="1:16" ht="15" customHeight="1" x14ac:dyDescent="0.25">
      <c r="A224" s="233"/>
      <c r="B224" s="14">
        <v>46150</v>
      </c>
      <c r="C224" s="12" t="s">
        <v>4</v>
      </c>
      <c r="D224" s="15"/>
      <c r="E224" s="15">
        <v>33.700000000000003</v>
      </c>
      <c r="F224" s="15"/>
      <c r="G224" s="15">
        <v>33.700000000000003</v>
      </c>
      <c r="H224" s="15"/>
      <c r="I224" s="15">
        <v>33.9</v>
      </c>
      <c r="J224" s="15"/>
      <c r="K224" s="15">
        <v>33.799999999999997</v>
      </c>
      <c r="L224" s="15"/>
      <c r="M224" s="15">
        <v>33.700000000000003</v>
      </c>
      <c r="N224" s="15"/>
      <c r="O224" s="15">
        <v>33.6</v>
      </c>
      <c r="P224" s="12"/>
    </row>
    <row r="225" spans="1:16" ht="15" customHeight="1" x14ac:dyDescent="0.25">
      <c r="A225" s="233"/>
      <c r="B225" s="14">
        <v>46151</v>
      </c>
      <c r="C225" s="12" t="s">
        <v>5</v>
      </c>
      <c r="D225" s="15">
        <v>34</v>
      </c>
      <c r="E225" s="15">
        <v>33.9</v>
      </c>
      <c r="F225" s="15">
        <v>33.9</v>
      </c>
      <c r="G225" s="15">
        <v>34.200000000000003</v>
      </c>
      <c r="H225" s="15">
        <v>33.700000000000003</v>
      </c>
      <c r="I225" s="15">
        <v>33.799999999999997</v>
      </c>
      <c r="J225" s="15">
        <v>33.700000000000003</v>
      </c>
      <c r="K225" s="15">
        <v>33.89</v>
      </c>
      <c r="L225" s="15">
        <v>33.6</v>
      </c>
      <c r="M225" s="15">
        <v>33.799999999999997</v>
      </c>
      <c r="N225" s="15">
        <v>33.700000000000003</v>
      </c>
      <c r="O225" s="15">
        <v>33.700000000000003</v>
      </c>
      <c r="P225" s="12"/>
    </row>
    <row r="226" spans="1:16" ht="15" customHeight="1" x14ac:dyDescent="0.25">
      <c r="A226" s="233"/>
      <c r="B226" s="14">
        <v>46152</v>
      </c>
      <c r="C226" s="12" t="s">
        <v>6</v>
      </c>
      <c r="D226" s="15">
        <v>33.9</v>
      </c>
      <c r="E226" s="15">
        <v>33.9</v>
      </c>
      <c r="F226" s="15">
        <v>34</v>
      </c>
      <c r="G226" s="15">
        <v>34.1</v>
      </c>
      <c r="H226" s="15">
        <v>34.299999999999997</v>
      </c>
      <c r="I226" s="15">
        <v>34</v>
      </c>
      <c r="J226" s="15">
        <v>33.799999999999997</v>
      </c>
      <c r="K226" s="15">
        <v>34</v>
      </c>
      <c r="L226" s="15">
        <v>33.9</v>
      </c>
      <c r="M226" s="15">
        <v>33.700000000000003</v>
      </c>
      <c r="N226" s="15">
        <v>34</v>
      </c>
      <c r="O226" s="15">
        <v>33.6</v>
      </c>
      <c r="P226" s="12"/>
    </row>
    <row r="227" spans="1:16" ht="15" customHeight="1" x14ac:dyDescent="0.25">
      <c r="A227" s="233"/>
      <c r="B227" s="14">
        <v>46153</v>
      </c>
      <c r="C227" s="12" t="s">
        <v>7</v>
      </c>
      <c r="D227" s="15">
        <v>33.9</v>
      </c>
      <c r="E227" s="15">
        <v>33.700000000000003</v>
      </c>
      <c r="F227" s="15">
        <v>33.700000000000003</v>
      </c>
      <c r="G227" s="15">
        <v>33.799999999999997</v>
      </c>
      <c r="H227" s="15">
        <v>33.799999999999997</v>
      </c>
      <c r="I227" s="15">
        <v>33.299999999999997</v>
      </c>
      <c r="J227" s="15">
        <v>33.21</v>
      </c>
      <c r="K227" s="15">
        <v>33</v>
      </c>
      <c r="L227" s="15">
        <v>32.700000000000003</v>
      </c>
      <c r="M227" s="15">
        <v>32.799999999999997</v>
      </c>
      <c r="N227" s="15">
        <v>33</v>
      </c>
      <c r="O227" s="15">
        <v>32.700000000000003</v>
      </c>
      <c r="P227" s="12"/>
    </row>
    <row r="228" spans="1:16" ht="15" customHeight="1" x14ac:dyDescent="0.25">
      <c r="A228" s="233"/>
      <c r="B228" s="14">
        <v>46154</v>
      </c>
      <c r="C228" s="12" t="s">
        <v>8</v>
      </c>
      <c r="D228" s="15">
        <v>33</v>
      </c>
      <c r="E228" s="15">
        <v>33.299999999999997</v>
      </c>
      <c r="F228" s="15">
        <v>33.299999999999997</v>
      </c>
      <c r="G228" s="15">
        <v>32.9</v>
      </c>
      <c r="H228" s="15">
        <v>32.9</v>
      </c>
      <c r="I228" s="15">
        <v>32.6</v>
      </c>
      <c r="J228" s="15">
        <v>32.799999999999997</v>
      </c>
      <c r="K228" s="15">
        <v>32.9</v>
      </c>
      <c r="L228" s="15">
        <v>33</v>
      </c>
      <c r="M228" s="15">
        <v>33</v>
      </c>
      <c r="N228" s="15">
        <v>32.700000000000003</v>
      </c>
      <c r="O228" s="15">
        <v>32.9</v>
      </c>
      <c r="P228" s="12"/>
    </row>
    <row r="229" spans="1:16" ht="15" customHeight="1" x14ac:dyDescent="0.25">
      <c r="A229" s="233"/>
      <c r="B229" s="14">
        <v>46155</v>
      </c>
      <c r="C229" s="12" t="s">
        <v>9</v>
      </c>
      <c r="D229" s="15">
        <v>33</v>
      </c>
      <c r="E229" s="15">
        <v>33</v>
      </c>
      <c r="F229" s="15">
        <v>33</v>
      </c>
      <c r="G229" s="15">
        <v>33</v>
      </c>
      <c r="H229" s="15">
        <v>33</v>
      </c>
      <c r="I229" s="15">
        <v>32.700000000000003</v>
      </c>
      <c r="J229" s="15">
        <v>32.299999999999997</v>
      </c>
      <c r="K229" s="15">
        <v>32</v>
      </c>
      <c r="L229" s="15">
        <v>31.6</v>
      </c>
      <c r="M229" s="15">
        <v>31.7</v>
      </c>
      <c r="N229" s="15">
        <v>31.9</v>
      </c>
      <c r="O229" s="15">
        <v>31.6</v>
      </c>
      <c r="P229" s="12"/>
    </row>
    <row r="230" spans="1:16" ht="15" customHeight="1" x14ac:dyDescent="0.25">
      <c r="A230" s="233"/>
      <c r="B230" s="14">
        <v>46156</v>
      </c>
      <c r="C230" s="12" t="s">
        <v>10</v>
      </c>
      <c r="D230" s="15">
        <v>31.9</v>
      </c>
      <c r="E230" s="15">
        <v>31.9</v>
      </c>
      <c r="F230" s="15">
        <v>32.4</v>
      </c>
      <c r="G230" s="15">
        <v>32.700000000000003</v>
      </c>
      <c r="H230" s="15">
        <v>32.700000000000003</v>
      </c>
      <c r="I230" s="15">
        <v>32.5</v>
      </c>
      <c r="J230" s="15">
        <v>32.200000000000003</v>
      </c>
      <c r="K230" s="15">
        <v>31.8</v>
      </c>
      <c r="L230" s="15">
        <v>32</v>
      </c>
      <c r="M230" s="15">
        <v>31.6</v>
      </c>
      <c r="N230" s="15">
        <v>31.8</v>
      </c>
      <c r="O230" s="15">
        <v>31.9</v>
      </c>
      <c r="P230" s="12"/>
    </row>
    <row r="231" spans="1:16" ht="15" customHeight="1" x14ac:dyDescent="0.25">
      <c r="A231" s="233"/>
      <c r="B231" s="14">
        <v>46157</v>
      </c>
      <c r="C231" s="12" t="s">
        <v>11</v>
      </c>
      <c r="D231" s="15">
        <v>31.6</v>
      </c>
      <c r="E231" s="15">
        <v>32</v>
      </c>
      <c r="F231" s="15">
        <v>32.5</v>
      </c>
      <c r="G231" s="15">
        <v>32.700000000000003</v>
      </c>
      <c r="H231" s="15">
        <v>30.7</v>
      </c>
      <c r="I231" s="15">
        <v>32.4</v>
      </c>
      <c r="J231" s="15">
        <v>31.9</v>
      </c>
      <c r="K231" s="15">
        <v>31.4</v>
      </c>
      <c r="L231" s="15">
        <v>31.1</v>
      </c>
      <c r="M231" s="15">
        <v>30.7</v>
      </c>
      <c r="N231" s="15">
        <v>31</v>
      </c>
      <c r="O231" s="15">
        <v>30.8</v>
      </c>
      <c r="P231" s="12"/>
    </row>
    <row r="232" spans="1:16" ht="15" customHeight="1" x14ac:dyDescent="0.25">
      <c r="A232" s="233"/>
      <c r="B232" s="14">
        <v>46158</v>
      </c>
      <c r="C232" s="12" t="s">
        <v>12</v>
      </c>
      <c r="D232" s="15">
        <v>30.6</v>
      </c>
      <c r="E232" s="15">
        <v>31</v>
      </c>
      <c r="F232" s="15">
        <v>30.9</v>
      </c>
      <c r="G232" s="15">
        <v>30.9</v>
      </c>
      <c r="H232" s="15">
        <v>30.9</v>
      </c>
      <c r="I232" s="15">
        <v>30.9</v>
      </c>
      <c r="J232" s="15">
        <v>30.8</v>
      </c>
      <c r="K232" s="15">
        <v>30.9</v>
      </c>
      <c r="L232" s="15">
        <v>30.6</v>
      </c>
      <c r="M232" s="15">
        <v>30.9</v>
      </c>
      <c r="N232" s="15">
        <v>30.9</v>
      </c>
      <c r="O232" s="15">
        <v>30.7</v>
      </c>
      <c r="P232" s="12"/>
    </row>
    <row r="233" spans="1:16" ht="15" customHeight="1" x14ac:dyDescent="0.25">
      <c r="A233" s="233"/>
      <c r="B233" s="14">
        <v>46159</v>
      </c>
      <c r="C233" s="12" t="s">
        <v>13</v>
      </c>
      <c r="D233" s="15">
        <v>30.7</v>
      </c>
      <c r="E233" s="15">
        <v>30.7</v>
      </c>
      <c r="F233" s="15">
        <v>31.1</v>
      </c>
      <c r="G233" s="15">
        <v>31.7</v>
      </c>
      <c r="H233" s="15">
        <v>31.8</v>
      </c>
      <c r="I233" s="15">
        <v>31.7</v>
      </c>
      <c r="J233" s="15">
        <v>31.4</v>
      </c>
      <c r="K233" s="15">
        <v>31</v>
      </c>
      <c r="L233" s="15">
        <v>30.8</v>
      </c>
      <c r="M233" s="15">
        <v>30.5</v>
      </c>
      <c r="N233" s="15">
        <v>30.2</v>
      </c>
      <c r="O233" s="15">
        <v>30.2</v>
      </c>
      <c r="P233" s="12"/>
    </row>
    <row r="234" spans="1:16" ht="15" customHeight="1" x14ac:dyDescent="0.25">
      <c r="A234" s="233"/>
      <c r="B234" s="14">
        <v>46160</v>
      </c>
      <c r="C234" s="12" t="s">
        <v>14</v>
      </c>
      <c r="D234" s="15">
        <v>30.2</v>
      </c>
      <c r="E234" s="15">
        <v>30.4</v>
      </c>
      <c r="F234" s="15">
        <v>31.2</v>
      </c>
      <c r="G234" s="15">
        <v>31.7</v>
      </c>
      <c r="H234" s="15">
        <v>31.8</v>
      </c>
      <c r="I234" s="15">
        <v>32</v>
      </c>
      <c r="J234" s="15">
        <v>32</v>
      </c>
      <c r="K234" s="15">
        <v>31.6</v>
      </c>
      <c r="L234" s="15">
        <v>31.4</v>
      </c>
      <c r="M234" s="15">
        <v>31.1</v>
      </c>
      <c r="N234" s="15">
        <v>30.8</v>
      </c>
      <c r="O234" s="15">
        <v>30.2</v>
      </c>
      <c r="P234" s="12"/>
    </row>
    <row r="235" spans="1:16" ht="15" customHeight="1" x14ac:dyDescent="0.25">
      <c r="A235" s="233"/>
      <c r="B235" s="14">
        <v>46161</v>
      </c>
      <c r="C235" s="12" t="s">
        <v>15</v>
      </c>
      <c r="D235" s="15">
        <v>30.3</v>
      </c>
      <c r="E235" s="15">
        <v>30.7</v>
      </c>
      <c r="F235" s="15">
        <v>31.1</v>
      </c>
      <c r="G235" s="15">
        <v>32.200000000000003</v>
      </c>
      <c r="H235" s="15">
        <v>32.299999999999997</v>
      </c>
      <c r="I235" s="15">
        <v>32.1</v>
      </c>
      <c r="J235" s="15">
        <v>32</v>
      </c>
      <c r="K235" s="15">
        <v>31.1</v>
      </c>
      <c r="L235" s="15">
        <v>31.1</v>
      </c>
      <c r="M235" s="15">
        <v>31</v>
      </c>
      <c r="N235" s="15">
        <v>31</v>
      </c>
      <c r="O235" s="15">
        <v>30.4</v>
      </c>
      <c r="P235" s="12"/>
    </row>
    <row r="236" spans="1:16" ht="15" customHeight="1" x14ac:dyDescent="0.25">
      <c r="A236" s="233"/>
      <c r="B236" s="14">
        <v>46162</v>
      </c>
      <c r="C236" s="12" t="s">
        <v>16</v>
      </c>
      <c r="D236" s="15">
        <v>30.5</v>
      </c>
      <c r="E236" s="15">
        <v>30</v>
      </c>
      <c r="F236" s="15">
        <v>31.1</v>
      </c>
      <c r="G236" s="15">
        <v>31.3</v>
      </c>
      <c r="H236" s="15">
        <v>31.4</v>
      </c>
      <c r="I236" s="15">
        <v>31.4</v>
      </c>
      <c r="J236" s="15">
        <v>31.4</v>
      </c>
      <c r="K236" s="15">
        <v>31.2</v>
      </c>
      <c r="L236" s="15">
        <v>30.7</v>
      </c>
      <c r="M236" s="15">
        <v>30.7</v>
      </c>
      <c r="N236" s="15">
        <v>30.5</v>
      </c>
      <c r="O236" s="15">
        <v>30.1</v>
      </c>
      <c r="P236" s="16"/>
    </row>
    <row r="237" spans="1:16" ht="15" customHeight="1" x14ac:dyDescent="0.25">
      <c r="A237" s="233"/>
      <c r="B237" s="14">
        <v>46163</v>
      </c>
      <c r="C237" s="12" t="s">
        <v>17</v>
      </c>
      <c r="D237" s="15">
        <v>30</v>
      </c>
      <c r="E237" s="15">
        <v>30.5</v>
      </c>
      <c r="F237" s="15">
        <v>30.7</v>
      </c>
      <c r="G237" s="15">
        <v>31</v>
      </c>
      <c r="H237" s="15">
        <v>31.1</v>
      </c>
      <c r="I237" s="15">
        <v>31.1</v>
      </c>
      <c r="J237" s="15">
        <v>31.1</v>
      </c>
      <c r="K237" s="15">
        <v>30.9</v>
      </c>
      <c r="L237" s="15">
        <v>30.8</v>
      </c>
      <c r="M237" s="15">
        <v>30.6</v>
      </c>
      <c r="N237" s="15">
        <v>30.4</v>
      </c>
      <c r="O237" s="15">
        <v>30.3</v>
      </c>
      <c r="P237" s="16"/>
    </row>
    <row r="238" spans="1:16" ht="15" customHeight="1" x14ac:dyDescent="0.25">
      <c r="A238" s="233"/>
      <c r="B238" s="14">
        <v>46164</v>
      </c>
      <c r="C238" s="17" t="s">
        <v>18</v>
      </c>
      <c r="D238" s="15">
        <v>30.2</v>
      </c>
      <c r="E238" s="15">
        <v>30.3</v>
      </c>
      <c r="F238" s="15">
        <v>31</v>
      </c>
      <c r="G238" s="15">
        <v>31.2</v>
      </c>
      <c r="H238" s="15">
        <v>31.3</v>
      </c>
      <c r="I238" s="15">
        <v>31.3</v>
      </c>
      <c r="J238" s="15">
        <v>31.3</v>
      </c>
      <c r="K238" s="15">
        <v>31.1</v>
      </c>
      <c r="L238" s="15">
        <v>30.9</v>
      </c>
      <c r="M238" s="15">
        <v>30.6</v>
      </c>
      <c r="N238" s="15">
        <v>30.4</v>
      </c>
      <c r="O238" s="15">
        <v>30.1</v>
      </c>
      <c r="P238" s="16"/>
    </row>
    <row r="239" spans="1:16" ht="15" customHeight="1" x14ac:dyDescent="0.25">
      <c r="A239" s="233"/>
      <c r="B239" s="14">
        <v>46165</v>
      </c>
      <c r="C239" s="17" t="s">
        <v>19</v>
      </c>
      <c r="D239" s="15">
        <v>29.9</v>
      </c>
      <c r="E239" s="15">
        <v>30.4</v>
      </c>
      <c r="F239" s="15">
        <v>31.2</v>
      </c>
      <c r="G239" s="15">
        <v>31.2</v>
      </c>
      <c r="H239" s="15">
        <v>31.3</v>
      </c>
      <c r="I239" s="15"/>
      <c r="J239" s="15"/>
      <c r="K239" s="15"/>
      <c r="L239" s="15"/>
      <c r="M239" s="15"/>
      <c r="N239" s="15"/>
      <c r="O239" s="15"/>
      <c r="P239" s="16"/>
    </row>
    <row r="240" spans="1:16" ht="15" customHeight="1" x14ac:dyDescent="0.25">
      <c r="A240" s="234"/>
      <c r="B240" s="14">
        <v>46166</v>
      </c>
      <c r="C240" s="17" t="s">
        <v>20</v>
      </c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6"/>
    </row>
    <row r="241" spans="1:16" ht="15" customHeight="1" x14ac:dyDescent="0.25">
      <c r="A241" s="232">
        <v>13</v>
      </c>
      <c r="B241" s="235" t="s">
        <v>0</v>
      </c>
      <c r="C241" s="235" t="s">
        <v>65</v>
      </c>
      <c r="D241" s="237" t="s">
        <v>1</v>
      </c>
      <c r="E241" s="238"/>
      <c r="F241" s="238"/>
      <c r="G241" s="238"/>
      <c r="H241" s="238"/>
      <c r="I241" s="238"/>
      <c r="J241" s="238"/>
      <c r="K241" s="238"/>
      <c r="L241" s="238"/>
      <c r="M241" s="238"/>
      <c r="N241" s="238"/>
      <c r="O241" s="239"/>
      <c r="P241" s="12" t="s">
        <v>2</v>
      </c>
    </row>
    <row r="242" spans="1:16" ht="15" customHeight="1" x14ac:dyDescent="0.25">
      <c r="A242" s="233"/>
      <c r="B242" s="236"/>
      <c r="C242" s="236"/>
      <c r="D242" s="13">
        <v>0.375</v>
      </c>
      <c r="E242" s="13">
        <v>0.45833333333333331</v>
      </c>
      <c r="F242" s="13">
        <v>0.54166666666666696</v>
      </c>
      <c r="G242" s="13">
        <v>0.625</v>
      </c>
      <c r="H242" s="13">
        <v>0.70833333333333304</v>
      </c>
      <c r="I242" s="13">
        <v>0.79166666666666696</v>
      </c>
      <c r="J242" s="13">
        <v>0.875</v>
      </c>
      <c r="K242" s="13">
        <v>0.95833333333333304</v>
      </c>
      <c r="L242" s="13">
        <v>1.0416666666666701</v>
      </c>
      <c r="M242" s="13">
        <v>1.125</v>
      </c>
      <c r="N242" s="13">
        <v>1.2083333333333299</v>
      </c>
      <c r="O242" s="13">
        <v>1.2916666666666601</v>
      </c>
      <c r="P242" s="12"/>
    </row>
    <row r="243" spans="1:16" ht="15" customHeight="1" x14ac:dyDescent="0.25">
      <c r="A243" s="233"/>
      <c r="B243" s="14">
        <v>46149</v>
      </c>
      <c r="C243" s="12" t="s">
        <v>3</v>
      </c>
      <c r="D243" s="15"/>
      <c r="E243" s="15"/>
      <c r="F243" s="15"/>
      <c r="G243" s="15"/>
      <c r="H243" s="15"/>
      <c r="I243" s="15">
        <v>32.799999999999997</v>
      </c>
      <c r="J243" s="15"/>
      <c r="K243" s="15">
        <v>32.6</v>
      </c>
      <c r="L243" s="15"/>
      <c r="M243" s="15">
        <v>32.6</v>
      </c>
      <c r="N243" s="15"/>
      <c r="O243" s="15">
        <v>32.4</v>
      </c>
      <c r="P243" s="16"/>
    </row>
    <row r="244" spans="1:16" ht="15" customHeight="1" x14ac:dyDescent="0.25">
      <c r="A244" s="233"/>
      <c r="B244" s="14">
        <v>46150</v>
      </c>
      <c r="C244" s="12" t="s">
        <v>4</v>
      </c>
      <c r="D244" s="15"/>
      <c r="E244" s="15">
        <v>33.6</v>
      </c>
      <c r="F244" s="15"/>
      <c r="G244" s="15">
        <v>33.6</v>
      </c>
      <c r="H244" s="15"/>
      <c r="I244" s="15">
        <v>33.700000000000003</v>
      </c>
      <c r="J244" s="15"/>
      <c r="K244" s="15">
        <v>33.6</v>
      </c>
      <c r="L244" s="15"/>
      <c r="M244" s="15">
        <v>33.700000000000003</v>
      </c>
      <c r="N244" s="15"/>
      <c r="O244" s="15">
        <v>33.5</v>
      </c>
      <c r="P244" s="12"/>
    </row>
    <row r="245" spans="1:16" ht="15" customHeight="1" x14ac:dyDescent="0.25">
      <c r="A245" s="233"/>
      <c r="B245" s="14">
        <v>46151</v>
      </c>
      <c r="C245" s="12" t="s">
        <v>5</v>
      </c>
      <c r="D245" s="15">
        <v>33.700000000000003</v>
      </c>
      <c r="E245" s="15">
        <v>33.9</v>
      </c>
      <c r="F245" s="15">
        <v>34</v>
      </c>
      <c r="G245" s="15">
        <v>34.1</v>
      </c>
      <c r="H245" s="15">
        <v>33.700000000000003</v>
      </c>
      <c r="I245" s="15">
        <v>33.9</v>
      </c>
      <c r="J245" s="15">
        <v>33.700000000000003</v>
      </c>
      <c r="K245" s="15">
        <v>33.700000000000003</v>
      </c>
      <c r="L245" s="15">
        <v>33.799999999999997</v>
      </c>
      <c r="M245" s="15">
        <v>33.9</v>
      </c>
      <c r="N245" s="15">
        <v>33.700000000000003</v>
      </c>
      <c r="O245" s="15">
        <v>33.6</v>
      </c>
      <c r="P245" s="12"/>
    </row>
    <row r="246" spans="1:16" ht="15" customHeight="1" x14ac:dyDescent="0.25">
      <c r="A246" s="233"/>
      <c r="B246" s="14">
        <v>46152</v>
      </c>
      <c r="C246" s="12" t="s">
        <v>6</v>
      </c>
      <c r="D246" s="15">
        <v>33.6</v>
      </c>
      <c r="E246" s="15">
        <v>33.799999999999997</v>
      </c>
      <c r="F246" s="15">
        <v>33.799999999999997</v>
      </c>
      <c r="G246" s="15">
        <v>33.9</v>
      </c>
      <c r="H246" s="15">
        <v>33.9</v>
      </c>
      <c r="I246" s="15">
        <v>33.700000000000003</v>
      </c>
      <c r="J246" s="15">
        <v>33.700000000000003</v>
      </c>
      <c r="K246" s="15">
        <v>33.9</v>
      </c>
      <c r="L246" s="15">
        <v>33.9</v>
      </c>
      <c r="M246" s="15">
        <v>33.799999999999997</v>
      </c>
      <c r="N246" s="15">
        <v>33.799999999999997</v>
      </c>
      <c r="O246" s="15">
        <v>33.5</v>
      </c>
      <c r="P246" s="12"/>
    </row>
    <row r="247" spans="1:16" ht="15" customHeight="1" x14ac:dyDescent="0.25">
      <c r="A247" s="233"/>
      <c r="B247" s="14">
        <v>46153</v>
      </c>
      <c r="C247" s="12" t="s">
        <v>7</v>
      </c>
      <c r="D247" s="15">
        <v>33.299999999999997</v>
      </c>
      <c r="E247" s="15">
        <v>33.700000000000003</v>
      </c>
      <c r="F247" s="15">
        <v>33.700000000000003</v>
      </c>
      <c r="G247" s="15">
        <v>33.9</v>
      </c>
      <c r="H247" s="15">
        <v>33.799999999999997</v>
      </c>
      <c r="I247" s="15">
        <v>33.4</v>
      </c>
      <c r="J247" s="15">
        <v>33.200000000000003</v>
      </c>
      <c r="K247" s="15">
        <v>32.799999999999997</v>
      </c>
      <c r="L247" s="15">
        <v>32.9</v>
      </c>
      <c r="M247" s="15">
        <v>32.799999999999997</v>
      </c>
      <c r="N247" s="15">
        <v>32.9</v>
      </c>
      <c r="O247" s="15">
        <v>32.700000000000003</v>
      </c>
      <c r="P247" s="12"/>
    </row>
    <row r="248" spans="1:16" ht="15" customHeight="1" x14ac:dyDescent="0.25">
      <c r="A248" s="233"/>
      <c r="B248" s="14">
        <v>46154</v>
      </c>
      <c r="C248" s="12" t="s">
        <v>8</v>
      </c>
      <c r="D248" s="15">
        <v>32.6</v>
      </c>
      <c r="E248" s="15">
        <v>33</v>
      </c>
      <c r="F248" s="15">
        <v>33</v>
      </c>
      <c r="G248" s="15">
        <v>33.1</v>
      </c>
      <c r="H248" s="15">
        <v>33.1</v>
      </c>
      <c r="I248" s="15">
        <v>32.700000000000003</v>
      </c>
      <c r="J248" s="15">
        <v>33</v>
      </c>
      <c r="K248" s="15">
        <v>32.5</v>
      </c>
      <c r="L248" s="15">
        <v>32.700000000000003</v>
      </c>
      <c r="M248" s="15">
        <v>32.799999999999997</v>
      </c>
      <c r="N248" s="15">
        <v>33</v>
      </c>
      <c r="O248" s="15">
        <v>32.700000000000003</v>
      </c>
      <c r="P248" s="12"/>
    </row>
    <row r="249" spans="1:16" ht="15" customHeight="1" x14ac:dyDescent="0.25">
      <c r="A249" s="233"/>
      <c r="B249" s="14">
        <v>46155</v>
      </c>
      <c r="C249" s="12" t="s">
        <v>9</v>
      </c>
      <c r="D249" s="15">
        <v>33</v>
      </c>
      <c r="E249" s="15">
        <v>32.9</v>
      </c>
      <c r="F249" s="15">
        <v>32.9</v>
      </c>
      <c r="G249" s="15">
        <v>32.9</v>
      </c>
      <c r="H249" s="15">
        <v>32.9</v>
      </c>
      <c r="I249" s="15">
        <v>32.700000000000003</v>
      </c>
      <c r="J249" s="15">
        <v>32.4</v>
      </c>
      <c r="K249" s="15">
        <v>32</v>
      </c>
      <c r="L249" s="15">
        <v>31.5</v>
      </c>
      <c r="M249" s="15">
        <v>31.69</v>
      </c>
      <c r="N249" s="15">
        <v>32</v>
      </c>
      <c r="O249" s="15">
        <v>31.6</v>
      </c>
      <c r="P249" s="12"/>
    </row>
    <row r="250" spans="1:16" ht="15" customHeight="1" x14ac:dyDescent="0.25">
      <c r="A250" s="233"/>
      <c r="B250" s="14">
        <v>46156</v>
      </c>
      <c r="C250" s="12" t="s">
        <v>10</v>
      </c>
      <c r="D250" s="15">
        <v>31.9</v>
      </c>
      <c r="E250" s="15">
        <v>31.9</v>
      </c>
      <c r="F250" s="15">
        <v>32.4</v>
      </c>
      <c r="G250" s="15">
        <v>32.6</v>
      </c>
      <c r="H250" s="15">
        <v>32.799999999999997</v>
      </c>
      <c r="I250" s="15">
        <v>32.799999999999997</v>
      </c>
      <c r="J250" s="15">
        <v>32.5</v>
      </c>
      <c r="K250" s="15">
        <v>32.1</v>
      </c>
      <c r="L250" s="15">
        <v>31.7</v>
      </c>
      <c r="M250" s="15">
        <v>31.9</v>
      </c>
      <c r="N250" s="15">
        <v>31.6</v>
      </c>
      <c r="O250" s="15">
        <v>32</v>
      </c>
      <c r="P250" s="12"/>
    </row>
    <row r="251" spans="1:16" ht="15" customHeight="1" x14ac:dyDescent="0.25">
      <c r="A251" s="233"/>
      <c r="B251" s="14">
        <v>46157</v>
      </c>
      <c r="C251" s="12" t="s">
        <v>11</v>
      </c>
      <c r="D251" s="15">
        <v>32</v>
      </c>
      <c r="E251" s="15">
        <v>31.9</v>
      </c>
      <c r="F251" s="15">
        <v>32.700000000000003</v>
      </c>
      <c r="G251" s="15">
        <v>33.1</v>
      </c>
      <c r="H251" s="15">
        <v>32.299999999999997</v>
      </c>
      <c r="I251" s="15">
        <v>32.200000000000003</v>
      </c>
      <c r="J251" s="15">
        <v>31.6</v>
      </c>
      <c r="K251" s="15">
        <v>31.6</v>
      </c>
      <c r="L251" s="15">
        <v>30.7</v>
      </c>
      <c r="M251" s="15">
        <v>31</v>
      </c>
      <c r="N251" s="15">
        <v>30.8</v>
      </c>
      <c r="O251" s="15">
        <v>31.5</v>
      </c>
      <c r="P251" s="12"/>
    </row>
    <row r="252" spans="1:16" ht="15" customHeight="1" x14ac:dyDescent="0.25">
      <c r="A252" s="233"/>
      <c r="B252" s="14">
        <v>46158</v>
      </c>
      <c r="C252" s="12" t="s">
        <v>12</v>
      </c>
      <c r="D252" s="15">
        <v>30.5</v>
      </c>
      <c r="E252" s="15">
        <v>31</v>
      </c>
      <c r="F252" s="15">
        <v>31</v>
      </c>
      <c r="G252" s="15">
        <v>31</v>
      </c>
      <c r="H252" s="15">
        <v>31.1</v>
      </c>
      <c r="I252" s="15">
        <v>31.1</v>
      </c>
      <c r="J252" s="15">
        <v>30.6</v>
      </c>
      <c r="K252" s="15">
        <v>30.6</v>
      </c>
      <c r="L252" s="15">
        <v>30.8</v>
      </c>
      <c r="M252" s="15">
        <v>30.6</v>
      </c>
      <c r="N252" s="15">
        <v>30.5</v>
      </c>
      <c r="O252" s="15">
        <v>30.7</v>
      </c>
      <c r="P252" s="12"/>
    </row>
    <row r="253" spans="1:16" ht="15" customHeight="1" x14ac:dyDescent="0.25">
      <c r="A253" s="233"/>
      <c r="B253" s="14">
        <v>46159</v>
      </c>
      <c r="C253" s="12" t="s">
        <v>13</v>
      </c>
      <c r="D253" s="15">
        <v>30.9</v>
      </c>
      <c r="E253" s="15">
        <v>30.8</v>
      </c>
      <c r="F253" s="15">
        <v>31.4</v>
      </c>
      <c r="G253" s="15">
        <v>32</v>
      </c>
      <c r="H253" s="15">
        <v>32.700000000000003</v>
      </c>
      <c r="I253" s="15">
        <v>32.5</v>
      </c>
      <c r="J253" s="15">
        <v>31.7</v>
      </c>
      <c r="K253" s="15">
        <v>30.9</v>
      </c>
      <c r="L253" s="15">
        <v>30.8</v>
      </c>
      <c r="M253" s="15">
        <v>30.4</v>
      </c>
      <c r="N253" s="15">
        <v>30.1</v>
      </c>
      <c r="O253" s="15">
        <v>30.1</v>
      </c>
      <c r="P253" s="12"/>
    </row>
    <row r="254" spans="1:16" ht="15" customHeight="1" x14ac:dyDescent="0.25">
      <c r="A254" s="233"/>
      <c r="B254" s="14">
        <v>46160</v>
      </c>
      <c r="C254" s="12" t="s">
        <v>14</v>
      </c>
      <c r="D254" s="15">
        <v>29.9</v>
      </c>
      <c r="E254" s="15">
        <v>30.4</v>
      </c>
      <c r="F254" s="15">
        <v>31.2</v>
      </c>
      <c r="G254" s="15">
        <v>32.200000000000003</v>
      </c>
      <c r="H254" s="15">
        <v>32.4</v>
      </c>
      <c r="I254" s="15">
        <v>32.200000000000003</v>
      </c>
      <c r="J254" s="15">
        <v>31.9</v>
      </c>
      <c r="K254" s="15">
        <v>31.5</v>
      </c>
      <c r="L254" s="15">
        <v>31.4</v>
      </c>
      <c r="M254" s="15">
        <v>30.9</v>
      </c>
      <c r="N254" s="15">
        <v>30.6</v>
      </c>
      <c r="O254" s="15">
        <v>30.3</v>
      </c>
      <c r="P254" s="12"/>
    </row>
    <row r="255" spans="1:16" ht="15" customHeight="1" x14ac:dyDescent="0.25">
      <c r="A255" s="233"/>
      <c r="B255" s="14">
        <v>46161</v>
      </c>
      <c r="C255" s="12" t="s">
        <v>15</v>
      </c>
      <c r="D255" s="15">
        <v>30.3</v>
      </c>
      <c r="E255" s="15">
        <v>30.7</v>
      </c>
      <c r="F255" s="15">
        <v>31.4</v>
      </c>
      <c r="G255" s="15">
        <v>32.200000000000003</v>
      </c>
      <c r="H255" s="15">
        <v>32.299999999999997</v>
      </c>
      <c r="I255" s="15">
        <v>32</v>
      </c>
      <c r="J255" s="15">
        <v>31.8</v>
      </c>
      <c r="K255" s="15">
        <v>31.4</v>
      </c>
      <c r="L255" s="15">
        <v>31.1</v>
      </c>
      <c r="M255" s="15">
        <v>31</v>
      </c>
      <c r="N255" s="15">
        <v>30.7</v>
      </c>
      <c r="O255" s="15">
        <v>30.4</v>
      </c>
      <c r="P255" s="12"/>
    </row>
    <row r="256" spans="1:16" ht="15" customHeight="1" x14ac:dyDescent="0.25">
      <c r="A256" s="233"/>
      <c r="B256" s="14">
        <v>46162</v>
      </c>
      <c r="C256" s="12" t="s">
        <v>16</v>
      </c>
      <c r="D256" s="15">
        <v>30.2</v>
      </c>
      <c r="E256" s="15">
        <v>30.3</v>
      </c>
      <c r="F256" s="15">
        <v>30.1</v>
      </c>
      <c r="G256" s="15">
        <v>31.2</v>
      </c>
      <c r="H256" s="15">
        <v>31.4</v>
      </c>
      <c r="I256" s="15">
        <v>31.2</v>
      </c>
      <c r="J256" s="15">
        <v>31</v>
      </c>
      <c r="K256" s="15">
        <v>30.7</v>
      </c>
      <c r="L256" s="15">
        <v>30.4</v>
      </c>
      <c r="M256" s="15">
        <v>30.2</v>
      </c>
      <c r="N256" s="15">
        <v>30.1</v>
      </c>
      <c r="O256" s="15">
        <v>30</v>
      </c>
      <c r="P256" s="16"/>
    </row>
    <row r="257" spans="1:16" ht="15" customHeight="1" x14ac:dyDescent="0.25">
      <c r="A257" s="233"/>
      <c r="B257" s="14">
        <v>46163</v>
      </c>
      <c r="C257" s="12" t="s">
        <v>17</v>
      </c>
      <c r="D257" s="15">
        <v>30</v>
      </c>
      <c r="E257" s="15">
        <v>30.2</v>
      </c>
      <c r="F257" s="15">
        <v>30.6</v>
      </c>
      <c r="G257" s="15">
        <v>31</v>
      </c>
      <c r="H257" s="15">
        <v>31</v>
      </c>
      <c r="I257" s="15">
        <v>30.9</v>
      </c>
      <c r="J257" s="15">
        <v>30.8</v>
      </c>
      <c r="K257" s="15">
        <v>30.5</v>
      </c>
      <c r="L257" s="15">
        <v>30.4</v>
      </c>
      <c r="M257" s="15">
        <v>30.2</v>
      </c>
      <c r="N257" s="15">
        <v>29.9</v>
      </c>
      <c r="O257" s="15">
        <v>29.6</v>
      </c>
      <c r="P257" s="16"/>
    </row>
    <row r="258" spans="1:16" ht="15" customHeight="1" x14ac:dyDescent="0.25">
      <c r="A258" s="233"/>
      <c r="B258" s="14">
        <v>46164</v>
      </c>
      <c r="C258" s="17" t="s">
        <v>18</v>
      </c>
      <c r="D258" s="15">
        <v>29.8</v>
      </c>
      <c r="E258" s="15">
        <v>30</v>
      </c>
      <c r="F258" s="15">
        <v>30.9</v>
      </c>
      <c r="G258" s="15">
        <v>31.2</v>
      </c>
      <c r="H258" s="15">
        <v>31.4</v>
      </c>
      <c r="I258" s="15">
        <v>31.1</v>
      </c>
      <c r="J258" s="15">
        <v>31</v>
      </c>
      <c r="K258" s="15">
        <v>30.8</v>
      </c>
      <c r="L258" s="15">
        <v>30.4</v>
      </c>
      <c r="M258" s="15">
        <v>30.3</v>
      </c>
      <c r="N258" s="15">
        <v>30</v>
      </c>
      <c r="O258" s="15">
        <v>29.8</v>
      </c>
      <c r="P258" s="16"/>
    </row>
    <row r="259" spans="1:16" ht="15" customHeight="1" x14ac:dyDescent="0.25">
      <c r="A259" s="233"/>
      <c r="B259" s="14">
        <v>46165</v>
      </c>
      <c r="C259" s="17" t="s">
        <v>19</v>
      </c>
      <c r="D259" s="15">
        <v>29.8</v>
      </c>
      <c r="E259" s="15">
        <v>30.3</v>
      </c>
      <c r="F259" s="15">
        <v>30.9</v>
      </c>
      <c r="G259" s="15">
        <v>30.6</v>
      </c>
      <c r="H259" s="15">
        <v>31.5</v>
      </c>
      <c r="I259" s="15"/>
      <c r="J259" s="15"/>
      <c r="K259" s="15"/>
      <c r="L259" s="15"/>
      <c r="M259" s="15"/>
      <c r="N259" s="15"/>
      <c r="O259" s="15"/>
      <c r="P259" s="16"/>
    </row>
    <row r="260" spans="1:16" ht="15" customHeight="1" x14ac:dyDescent="0.25">
      <c r="A260" s="234"/>
      <c r="B260" s="14">
        <v>46166</v>
      </c>
      <c r="C260" s="17" t="s">
        <v>20</v>
      </c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6"/>
    </row>
    <row r="261" spans="1:16" ht="15" customHeight="1" x14ac:dyDescent="0.25">
      <c r="A261" s="232">
        <v>14</v>
      </c>
      <c r="B261" s="235" t="s">
        <v>0</v>
      </c>
      <c r="C261" s="235" t="s">
        <v>65</v>
      </c>
      <c r="D261" s="237" t="s">
        <v>1</v>
      </c>
      <c r="E261" s="238"/>
      <c r="F261" s="238"/>
      <c r="G261" s="238"/>
      <c r="H261" s="238"/>
      <c r="I261" s="238"/>
      <c r="J261" s="238"/>
      <c r="K261" s="238"/>
      <c r="L261" s="238"/>
      <c r="M261" s="238"/>
      <c r="N261" s="238"/>
      <c r="O261" s="239"/>
      <c r="P261" s="12" t="s">
        <v>2</v>
      </c>
    </row>
    <row r="262" spans="1:16" ht="15" customHeight="1" x14ac:dyDescent="0.25">
      <c r="A262" s="233"/>
      <c r="B262" s="236"/>
      <c r="C262" s="236"/>
      <c r="D262" s="13">
        <v>0.375</v>
      </c>
      <c r="E262" s="13">
        <v>0.45833333333333331</v>
      </c>
      <c r="F262" s="13">
        <v>0.54166666666666696</v>
      </c>
      <c r="G262" s="13">
        <v>0.625</v>
      </c>
      <c r="H262" s="13">
        <v>0.70833333333333304</v>
      </c>
      <c r="I262" s="13">
        <v>0.79166666666666696</v>
      </c>
      <c r="J262" s="13">
        <v>0.875</v>
      </c>
      <c r="K262" s="13">
        <v>0.95833333333333304</v>
      </c>
      <c r="L262" s="13">
        <v>1.0416666666666701</v>
      </c>
      <c r="M262" s="13">
        <v>1.125</v>
      </c>
      <c r="N262" s="13">
        <v>1.2083333333333299</v>
      </c>
      <c r="O262" s="13">
        <v>1.2916666666666601</v>
      </c>
      <c r="P262" s="12"/>
    </row>
    <row r="263" spans="1:16" ht="15" customHeight="1" x14ac:dyDescent="0.25">
      <c r="A263" s="233"/>
      <c r="B263" s="14">
        <v>46150</v>
      </c>
      <c r="C263" s="12" t="s">
        <v>3</v>
      </c>
      <c r="D263" s="15"/>
      <c r="E263" s="15"/>
      <c r="F263" s="15"/>
      <c r="G263" s="15"/>
      <c r="H263" s="15"/>
      <c r="I263" s="15">
        <v>32.799999999999997</v>
      </c>
      <c r="J263" s="15"/>
      <c r="K263" s="15">
        <v>32.799999999999997</v>
      </c>
      <c r="L263" s="15"/>
      <c r="M263" s="15">
        <v>32.799999999999997</v>
      </c>
      <c r="N263" s="15"/>
      <c r="O263" s="15">
        <v>32.5</v>
      </c>
      <c r="P263" s="16"/>
    </row>
    <row r="264" spans="1:16" ht="15" customHeight="1" x14ac:dyDescent="0.25">
      <c r="A264" s="233"/>
      <c r="B264" s="14">
        <v>46151</v>
      </c>
      <c r="C264" s="12" t="s">
        <v>4</v>
      </c>
      <c r="D264" s="15"/>
      <c r="E264" s="15" t="s">
        <v>194</v>
      </c>
      <c r="F264" s="15"/>
      <c r="G264" s="15">
        <v>33.6</v>
      </c>
      <c r="H264" s="15"/>
      <c r="I264" s="15">
        <v>33.6</v>
      </c>
      <c r="J264" s="15"/>
      <c r="K264" s="15">
        <v>33.799999999999997</v>
      </c>
      <c r="L264" s="15"/>
      <c r="M264" s="15">
        <v>33.700000000000003</v>
      </c>
      <c r="N264" s="15"/>
      <c r="O264" s="15">
        <v>33.9</v>
      </c>
      <c r="P264" s="12"/>
    </row>
    <row r="265" spans="1:16" ht="15" customHeight="1" x14ac:dyDescent="0.25">
      <c r="A265" s="233"/>
      <c r="B265" s="14">
        <v>46152</v>
      </c>
      <c r="C265" s="12" t="s">
        <v>5</v>
      </c>
      <c r="D265" s="15">
        <v>33.6</v>
      </c>
      <c r="E265" s="15">
        <v>33.9</v>
      </c>
      <c r="F265" s="15">
        <v>33.9</v>
      </c>
      <c r="G265" s="15">
        <v>33.9</v>
      </c>
      <c r="H265" s="15">
        <v>33.799999999999997</v>
      </c>
      <c r="I265" s="15">
        <v>33.700000000000003</v>
      </c>
      <c r="J265" s="15">
        <v>34</v>
      </c>
      <c r="K265" s="15">
        <v>33.5</v>
      </c>
      <c r="L265" s="15">
        <v>33.9</v>
      </c>
      <c r="M265" s="15">
        <v>33.700000000000003</v>
      </c>
      <c r="N265" s="15">
        <v>33.6</v>
      </c>
      <c r="O265" s="15">
        <v>33.799999999999997</v>
      </c>
      <c r="P265" s="12"/>
    </row>
    <row r="266" spans="1:16" ht="15" customHeight="1" x14ac:dyDescent="0.25">
      <c r="A266" s="233"/>
      <c r="B266" s="14">
        <v>46153</v>
      </c>
      <c r="C266" s="12" t="s">
        <v>6</v>
      </c>
      <c r="D266" s="15">
        <v>33.9</v>
      </c>
      <c r="E266" s="15">
        <v>34</v>
      </c>
      <c r="F266" s="15">
        <v>34</v>
      </c>
      <c r="G266" s="15">
        <v>34</v>
      </c>
      <c r="H266" s="15">
        <v>34</v>
      </c>
      <c r="I266" s="15">
        <v>33.9</v>
      </c>
      <c r="J266" s="15">
        <v>33.700000000000003</v>
      </c>
      <c r="K266" s="15">
        <v>33.9</v>
      </c>
      <c r="L266" s="15">
        <v>33.799999999999997</v>
      </c>
      <c r="M266" s="15">
        <v>34</v>
      </c>
      <c r="N266" s="15">
        <v>34</v>
      </c>
      <c r="O266" s="15">
        <v>33.700000000000003</v>
      </c>
      <c r="P266" s="12"/>
    </row>
    <row r="267" spans="1:16" ht="15" customHeight="1" x14ac:dyDescent="0.25">
      <c r="A267" s="233"/>
      <c r="B267" s="14">
        <v>46154</v>
      </c>
      <c r="C267" s="12" t="s">
        <v>7</v>
      </c>
      <c r="D267" s="15">
        <v>33.799999999999997</v>
      </c>
      <c r="E267" s="15">
        <v>34</v>
      </c>
      <c r="F267" s="15">
        <v>34</v>
      </c>
      <c r="G267" s="15">
        <v>34</v>
      </c>
      <c r="H267" s="15">
        <v>33.9</v>
      </c>
      <c r="I267" s="15">
        <v>33.5</v>
      </c>
      <c r="J267" s="15">
        <v>33.1</v>
      </c>
      <c r="K267" s="15">
        <v>32.6</v>
      </c>
      <c r="L267" s="15">
        <v>32.9</v>
      </c>
      <c r="M267" s="15">
        <v>33</v>
      </c>
      <c r="N267" s="15">
        <v>32.700000000000003</v>
      </c>
      <c r="O267" s="15">
        <v>32.9</v>
      </c>
      <c r="P267" s="12"/>
    </row>
    <row r="268" spans="1:16" ht="15" customHeight="1" x14ac:dyDescent="0.25">
      <c r="A268" s="233"/>
      <c r="B268" s="14">
        <v>46155</v>
      </c>
      <c r="C268" s="12" t="s">
        <v>8</v>
      </c>
      <c r="D268" s="15">
        <v>321.7</v>
      </c>
      <c r="E268" s="15">
        <v>32.700000000000003</v>
      </c>
      <c r="F268" s="15">
        <v>32.700000000000003</v>
      </c>
      <c r="G268" s="15">
        <v>32.700000000000003</v>
      </c>
      <c r="H268" s="15">
        <v>32.700000000000003</v>
      </c>
      <c r="I268" s="15">
        <v>33</v>
      </c>
      <c r="J268" s="15">
        <v>32.9</v>
      </c>
      <c r="K268" s="15">
        <v>32.700000000000003</v>
      </c>
      <c r="L268" s="15">
        <v>32.5</v>
      </c>
      <c r="M268" s="15">
        <v>32.5</v>
      </c>
      <c r="N268" s="15">
        <v>32.700000000000003</v>
      </c>
      <c r="O268" s="15">
        <v>33</v>
      </c>
      <c r="P268" s="12"/>
    </row>
    <row r="269" spans="1:16" ht="15" customHeight="1" x14ac:dyDescent="0.25">
      <c r="A269" s="233"/>
      <c r="B269" s="14">
        <v>46156</v>
      </c>
      <c r="C269" s="12" t="s">
        <v>9</v>
      </c>
      <c r="D269" s="15">
        <v>32.700000000000003</v>
      </c>
      <c r="E269" s="15">
        <v>32.9</v>
      </c>
      <c r="F269" s="15">
        <v>33</v>
      </c>
      <c r="G269" s="15">
        <v>33.200000000000003</v>
      </c>
      <c r="H269" s="15">
        <v>33.200000000000003</v>
      </c>
      <c r="I269" s="15">
        <v>32.799999999999997</v>
      </c>
      <c r="J269" s="15">
        <v>32.4</v>
      </c>
      <c r="K269" s="15">
        <v>31.9</v>
      </c>
      <c r="L269" s="15">
        <v>31.8</v>
      </c>
      <c r="M269" s="15">
        <v>31.6</v>
      </c>
      <c r="N269" s="15">
        <v>31.9</v>
      </c>
      <c r="O269" s="15">
        <v>31.9</v>
      </c>
      <c r="P269" s="12"/>
    </row>
    <row r="270" spans="1:16" ht="15" customHeight="1" x14ac:dyDescent="0.25">
      <c r="A270" s="233"/>
      <c r="B270" s="14">
        <v>46157</v>
      </c>
      <c r="C270" s="12" t="s">
        <v>10</v>
      </c>
      <c r="D270" s="15">
        <v>31.6</v>
      </c>
      <c r="E270" s="15">
        <v>32</v>
      </c>
      <c r="F270" s="15">
        <v>32.299999999999997</v>
      </c>
      <c r="G270" s="15">
        <v>32.700000000000003</v>
      </c>
      <c r="H270" s="15">
        <v>32.5</v>
      </c>
      <c r="I270" s="15">
        <v>32</v>
      </c>
      <c r="J270" s="15">
        <v>31.5</v>
      </c>
      <c r="K270" s="15">
        <v>31.7</v>
      </c>
      <c r="L270" s="15">
        <v>31.7</v>
      </c>
      <c r="M270" s="15">
        <v>31.7</v>
      </c>
      <c r="N270" s="15">
        <v>31.9</v>
      </c>
      <c r="O270" s="15">
        <v>31.6</v>
      </c>
      <c r="P270" s="12"/>
    </row>
    <row r="271" spans="1:16" ht="15" customHeight="1" x14ac:dyDescent="0.25">
      <c r="A271" s="233"/>
      <c r="B271" s="14">
        <v>46158</v>
      </c>
      <c r="C271" s="12" t="s">
        <v>11</v>
      </c>
      <c r="D271" s="15">
        <v>31.7</v>
      </c>
      <c r="E271" s="15">
        <v>31.8</v>
      </c>
      <c r="F271" s="15">
        <v>31.6</v>
      </c>
      <c r="G271" s="15">
        <v>31.6</v>
      </c>
      <c r="H271" s="15">
        <v>31.7</v>
      </c>
      <c r="I271" s="15">
        <v>31.4</v>
      </c>
      <c r="J271" s="15">
        <v>31.1</v>
      </c>
      <c r="K271" s="15">
        <v>30.6</v>
      </c>
      <c r="L271" s="15">
        <v>30.7</v>
      </c>
      <c r="M271" s="15">
        <v>30.6</v>
      </c>
      <c r="N271" s="15">
        <v>30.6</v>
      </c>
      <c r="O271" s="15">
        <v>30.9</v>
      </c>
      <c r="P271" s="12"/>
    </row>
    <row r="272" spans="1:16" ht="15" customHeight="1" x14ac:dyDescent="0.25">
      <c r="A272" s="233"/>
      <c r="B272" s="14">
        <v>46159</v>
      </c>
      <c r="C272" s="12" t="s">
        <v>12</v>
      </c>
      <c r="D272" s="15">
        <v>30.8</v>
      </c>
      <c r="E272" s="15">
        <v>30.6</v>
      </c>
      <c r="F272" s="15">
        <v>31.1</v>
      </c>
      <c r="G272" s="15">
        <v>31.6</v>
      </c>
      <c r="H272" s="15">
        <v>31.9</v>
      </c>
      <c r="I272" s="15">
        <v>31.8</v>
      </c>
      <c r="J272" s="15">
        <v>31.3</v>
      </c>
      <c r="K272" s="15">
        <v>31</v>
      </c>
      <c r="L272" s="15">
        <v>30.7</v>
      </c>
      <c r="M272" s="15">
        <v>30.4</v>
      </c>
      <c r="N272" s="15">
        <v>30</v>
      </c>
      <c r="O272" s="15">
        <v>30</v>
      </c>
      <c r="P272" s="12"/>
    </row>
    <row r="273" spans="1:16" ht="15" customHeight="1" x14ac:dyDescent="0.25">
      <c r="A273" s="233"/>
      <c r="B273" s="14">
        <v>46160</v>
      </c>
      <c r="C273" s="12" t="s">
        <v>13</v>
      </c>
      <c r="D273" s="15">
        <v>29.9</v>
      </c>
      <c r="E273" s="15">
        <v>30</v>
      </c>
      <c r="F273" s="15">
        <v>31</v>
      </c>
      <c r="G273" s="15">
        <v>31.9</v>
      </c>
      <c r="H273" s="15">
        <v>32.5</v>
      </c>
      <c r="I273" s="15">
        <v>32.299999999999997</v>
      </c>
      <c r="J273" s="15">
        <v>32</v>
      </c>
      <c r="K273" s="15">
        <v>31.6</v>
      </c>
      <c r="L273" s="15">
        <v>31.4</v>
      </c>
      <c r="M273" s="15">
        <v>30.9</v>
      </c>
      <c r="N273" s="15">
        <v>30.7</v>
      </c>
      <c r="O273" s="15">
        <v>30</v>
      </c>
      <c r="P273" s="12"/>
    </row>
    <row r="274" spans="1:16" ht="15" customHeight="1" x14ac:dyDescent="0.25">
      <c r="A274" s="233"/>
      <c r="B274" s="14">
        <v>46161</v>
      </c>
      <c r="C274" s="12" t="s">
        <v>14</v>
      </c>
      <c r="D274" s="15">
        <v>29.9</v>
      </c>
      <c r="E274" s="15">
        <v>30.6</v>
      </c>
      <c r="F274" s="15">
        <v>31.5</v>
      </c>
      <c r="G274" s="15">
        <v>32.200000000000003</v>
      </c>
      <c r="H274" s="15">
        <v>32.200000000000003</v>
      </c>
      <c r="I274" s="15">
        <v>32.200000000000003</v>
      </c>
      <c r="J274" s="15">
        <v>32</v>
      </c>
      <c r="K274" s="15">
        <v>31.5</v>
      </c>
      <c r="L274" s="15">
        <v>31.3</v>
      </c>
      <c r="M274" s="15">
        <v>30.9</v>
      </c>
      <c r="N274" s="15">
        <v>30.9</v>
      </c>
      <c r="O274" s="15">
        <v>30.5</v>
      </c>
      <c r="P274" s="12"/>
    </row>
    <row r="275" spans="1:16" ht="15" customHeight="1" x14ac:dyDescent="0.25">
      <c r="A275" s="233"/>
      <c r="B275" s="14">
        <v>46162</v>
      </c>
      <c r="C275" s="12" t="s">
        <v>15</v>
      </c>
      <c r="D275" s="15">
        <v>29.7</v>
      </c>
      <c r="E275" s="15">
        <v>29.7</v>
      </c>
      <c r="F275" s="15">
        <v>30.3</v>
      </c>
      <c r="G275" s="15">
        <v>30.6</v>
      </c>
      <c r="H275" s="15">
        <v>31</v>
      </c>
      <c r="I275" s="15">
        <v>31.1</v>
      </c>
      <c r="J275" s="15">
        <v>31.1</v>
      </c>
      <c r="K275" s="15">
        <v>31.1</v>
      </c>
      <c r="L275" s="15">
        <v>30.9</v>
      </c>
      <c r="M275" s="15">
        <v>30.4</v>
      </c>
      <c r="N275" s="15">
        <v>30.3</v>
      </c>
      <c r="O275" s="15">
        <v>30.4</v>
      </c>
      <c r="P275" s="12"/>
    </row>
    <row r="276" spans="1:16" ht="15" customHeight="1" x14ac:dyDescent="0.25">
      <c r="A276" s="233"/>
      <c r="B276" s="14">
        <v>46163</v>
      </c>
      <c r="C276" s="12" t="s">
        <v>16</v>
      </c>
      <c r="D276" s="15">
        <v>30</v>
      </c>
      <c r="E276" s="15">
        <v>29.8</v>
      </c>
      <c r="F276" s="15">
        <v>30.1</v>
      </c>
      <c r="G276" s="15">
        <v>30.6</v>
      </c>
      <c r="H276" s="15">
        <v>30.8</v>
      </c>
      <c r="I276" s="15">
        <v>30.4</v>
      </c>
      <c r="J276" s="15">
        <v>30.4</v>
      </c>
      <c r="K276" s="15">
        <v>30.4</v>
      </c>
      <c r="L276" s="15">
        <v>30.4</v>
      </c>
      <c r="M276" s="15">
        <v>30.3</v>
      </c>
      <c r="N276" s="15">
        <v>30.1</v>
      </c>
      <c r="O276" s="15">
        <v>29.9</v>
      </c>
      <c r="P276" s="16"/>
    </row>
    <row r="277" spans="1:16" ht="15" customHeight="1" x14ac:dyDescent="0.25">
      <c r="A277" s="233"/>
      <c r="B277" s="14">
        <v>46164</v>
      </c>
      <c r="C277" s="12" t="s">
        <v>17</v>
      </c>
      <c r="D277" s="15">
        <v>29.8</v>
      </c>
      <c r="E277" s="15">
        <v>30.1</v>
      </c>
      <c r="F277" s="15">
        <v>30.9</v>
      </c>
      <c r="G277" s="15">
        <v>31.2</v>
      </c>
      <c r="H277" s="15">
        <v>31.2</v>
      </c>
      <c r="I277" s="15">
        <v>30.1</v>
      </c>
      <c r="J277" s="15">
        <v>30</v>
      </c>
      <c r="K277" s="15">
        <v>29.8</v>
      </c>
      <c r="L277" s="15">
        <v>29.6</v>
      </c>
      <c r="M277" s="15">
        <v>29.8</v>
      </c>
      <c r="N277" s="15">
        <v>30</v>
      </c>
      <c r="O277" s="15">
        <v>29.7</v>
      </c>
      <c r="P277" s="16"/>
    </row>
    <row r="278" spans="1:16" ht="15" customHeight="1" x14ac:dyDescent="0.25">
      <c r="A278" s="233"/>
      <c r="B278" s="14">
        <v>46165</v>
      </c>
      <c r="C278" s="17" t="s">
        <v>18</v>
      </c>
      <c r="D278" s="15">
        <v>29.9</v>
      </c>
      <c r="E278" s="15">
        <v>30.1</v>
      </c>
      <c r="F278" s="15">
        <v>30.6</v>
      </c>
      <c r="G278" s="15">
        <v>30.2</v>
      </c>
      <c r="H278" s="15">
        <v>30.7</v>
      </c>
      <c r="I278" s="15">
        <v>30.6</v>
      </c>
      <c r="J278" s="15">
        <v>30.4</v>
      </c>
      <c r="K278" s="15">
        <v>29.9</v>
      </c>
      <c r="L278" s="15">
        <v>298.7</v>
      </c>
      <c r="M278" s="15">
        <v>29.8</v>
      </c>
      <c r="N278" s="15">
        <v>29.7</v>
      </c>
      <c r="O278" s="15">
        <v>29.9</v>
      </c>
      <c r="P278" s="16"/>
    </row>
    <row r="279" spans="1:16" ht="15" customHeight="1" x14ac:dyDescent="0.25">
      <c r="A279" s="233"/>
      <c r="B279" s="14">
        <v>46166</v>
      </c>
      <c r="C279" s="17" t="s">
        <v>19</v>
      </c>
      <c r="D279" s="15">
        <v>29.8</v>
      </c>
      <c r="E279" s="15">
        <v>29.6</v>
      </c>
      <c r="F279" s="15">
        <v>29.8</v>
      </c>
      <c r="G279" s="15">
        <v>30</v>
      </c>
      <c r="H279" s="15">
        <v>30.2</v>
      </c>
      <c r="I279" s="15"/>
      <c r="J279" s="15"/>
      <c r="K279" s="15"/>
      <c r="L279" s="15"/>
      <c r="M279" s="15"/>
      <c r="N279" s="15"/>
      <c r="O279" s="15"/>
      <c r="P279" s="16"/>
    </row>
    <row r="280" spans="1:16" ht="15" customHeight="1" x14ac:dyDescent="0.25">
      <c r="A280" s="234"/>
      <c r="B280" s="14">
        <v>46167</v>
      </c>
      <c r="C280" s="17" t="s">
        <v>20</v>
      </c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6"/>
    </row>
    <row r="281" spans="1:16" ht="15" customHeight="1" x14ac:dyDescent="0.25">
      <c r="A281" s="232">
        <v>15</v>
      </c>
      <c r="B281" s="235" t="s">
        <v>0</v>
      </c>
      <c r="C281" s="235" t="s">
        <v>65</v>
      </c>
      <c r="D281" s="237" t="s">
        <v>1</v>
      </c>
      <c r="E281" s="238"/>
      <c r="F281" s="238"/>
      <c r="G281" s="238"/>
      <c r="H281" s="238"/>
      <c r="I281" s="238"/>
      <c r="J281" s="238"/>
      <c r="K281" s="238"/>
      <c r="L281" s="238"/>
      <c r="M281" s="238"/>
      <c r="N281" s="238"/>
      <c r="O281" s="239"/>
      <c r="P281" s="12" t="s">
        <v>2</v>
      </c>
    </row>
    <row r="282" spans="1:16" ht="15" customHeight="1" x14ac:dyDescent="0.25">
      <c r="A282" s="233"/>
      <c r="B282" s="236"/>
      <c r="C282" s="236"/>
      <c r="D282" s="13">
        <v>0.375</v>
      </c>
      <c r="E282" s="13">
        <v>0.45833333333333331</v>
      </c>
      <c r="F282" s="13">
        <v>0.54166666666666696</v>
      </c>
      <c r="G282" s="13">
        <v>0.625</v>
      </c>
      <c r="H282" s="13">
        <v>0.70833333333333304</v>
      </c>
      <c r="I282" s="13">
        <v>0.79166666666666696</v>
      </c>
      <c r="J282" s="13">
        <v>0.875</v>
      </c>
      <c r="K282" s="13">
        <v>0.95833333333333304</v>
      </c>
      <c r="L282" s="13">
        <v>1.0416666666666701</v>
      </c>
      <c r="M282" s="13">
        <v>1.125</v>
      </c>
      <c r="N282" s="13">
        <v>1.2083333333333299</v>
      </c>
      <c r="O282" s="13">
        <v>1.2916666666666601</v>
      </c>
      <c r="P282" s="12"/>
    </row>
    <row r="283" spans="1:16" ht="15" customHeight="1" x14ac:dyDescent="0.25">
      <c r="A283" s="233"/>
      <c r="B283" s="14">
        <v>46150</v>
      </c>
      <c r="C283" s="12" t="s">
        <v>3</v>
      </c>
      <c r="D283" s="15"/>
      <c r="E283" s="15"/>
      <c r="F283" s="15"/>
      <c r="G283" s="15"/>
      <c r="H283" s="15"/>
      <c r="I283" s="15">
        <v>33</v>
      </c>
      <c r="J283" s="15"/>
      <c r="K283" s="15">
        <v>32.9</v>
      </c>
      <c r="L283" s="15"/>
      <c r="M283" s="15">
        <v>32.799999999999997</v>
      </c>
      <c r="N283" s="15"/>
      <c r="O283" s="15">
        <v>32.700000000000003</v>
      </c>
      <c r="P283" s="16"/>
    </row>
    <row r="284" spans="1:16" ht="15" customHeight="1" x14ac:dyDescent="0.25">
      <c r="A284" s="233"/>
      <c r="B284" s="14">
        <v>46151</v>
      </c>
      <c r="C284" s="12" t="s">
        <v>4</v>
      </c>
      <c r="D284" s="15"/>
      <c r="E284" s="15">
        <v>33.799999999999997</v>
      </c>
      <c r="F284" s="15"/>
      <c r="G284" s="15">
        <v>33.700000000000003</v>
      </c>
      <c r="H284" s="15"/>
      <c r="I284" s="15">
        <v>33.700000000000003</v>
      </c>
      <c r="J284" s="15"/>
      <c r="K284" s="15">
        <v>33.6</v>
      </c>
      <c r="L284" s="15"/>
      <c r="M284" s="15">
        <v>34</v>
      </c>
      <c r="N284" s="15"/>
      <c r="O284" s="15">
        <v>33.799999999999997</v>
      </c>
      <c r="P284" s="12"/>
    </row>
    <row r="285" spans="1:16" ht="15" customHeight="1" x14ac:dyDescent="0.25">
      <c r="A285" s="233"/>
      <c r="B285" s="14">
        <v>46152</v>
      </c>
      <c r="C285" s="12" t="s">
        <v>5</v>
      </c>
      <c r="D285" s="15">
        <v>33.799999999999997</v>
      </c>
      <c r="E285" s="15">
        <v>33.700000000000003</v>
      </c>
      <c r="F285" s="15">
        <v>33.700000000000003</v>
      </c>
      <c r="G285" s="15">
        <v>33.700000000000003</v>
      </c>
      <c r="H285" s="15">
        <v>33.799999999999997</v>
      </c>
      <c r="I285" s="15">
        <v>33.9</v>
      </c>
      <c r="J285" s="15">
        <v>33.6</v>
      </c>
      <c r="K285" s="15">
        <v>34</v>
      </c>
      <c r="L285" s="15">
        <v>34</v>
      </c>
      <c r="M285" s="15">
        <v>33.9</v>
      </c>
      <c r="N285" s="15">
        <v>33.700000000000003</v>
      </c>
      <c r="O285" s="15">
        <v>33.700000000000003</v>
      </c>
      <c r="P285" s="12"/>
    </row>
    <row r="286" spans="1:16" ht="15" customHeight="1" x14ac:dyDescent="0.25">
      <c r="A286" s="233"/>
      <c r="B286" s="14">
        <v>46153</v>
      </c>
      <c r="C286" s="12" t="s">
        <v>6</v>
      </c>
      <c r="D286" s="15">
        <v>33.9</v>
      </c>
      <c r="E286" s="15">
        <v>33.9</v>
      </c>
      <c r="F286" s="15">
        <v>33.9</v>
      </c>
      <c r="G286" s="15">
        <v>33.9</v>
      </c>
      <c r="H286" s="15">
        <v>34</v>
      </c>
      <c r="I286" s="15">
        <v>33.9</v>
      </c>
      <c r="J286" s="15">
        <v>33.700000000000003</v>
      </c>
      <c r="K286" s="15">
        <v>34</v>
      </c>
      <c r="L286" s="15">
        <v>33.700000000000003</v>
      </c>
      <c r="M286" s="15">
        <v>33.799999999999997</v>
      </c>
      <c r="N286" s="15">
        <v>33.799999999999997</v>
      </c>
      <c r="O286" s="15">
        <v>33.799999999999997</v>
      </c>
      <c r="P286" s="12"/>
    </row>
    <row r="287" spans="1:16" ht="15" customHeight="1" x14ac:dyDescent="0.25">
      <c r="A287" s="233"/>
      <c r="B287" s="14">
        <v>46154</v>
      </c>
      <c r="C287" s="12" t="s">
        <v>7</v>
      </c>
      <c r="D287" s="15">
        <v>33.799999999999997</v>
      </c>
      <c r="E287" s="15">
        <v>34</v>
      </c>
      <c r="F287" s="15">
        <v>34</v>
      </c>
      <c r="G287" s="15">
        <v>34.200000000000003</v>
      </c>
      <c r="H287" s="15">
        <v>34</v>
      </c>
      <c r="I287" s="15">
        <v>33.6</v>
      </c>
      <c r="J287" s="15">
        <v>33.200000000000003</v>
      </c>
      <c r="K287" s="15">
        <v>32.6</v>
      </c>
      <c r="L287" s="15">
        <v>32.799999999999997</v>
      </c>
      <c r="M287" s="15">
        <v>33</v>
      </c>
      <c r="N287" s="15">
        <v>32.6</v>
      </c>
      <c r="O287" s="15">
        <v>33</v>
      </c>
      <c r="P287" s="12"/>
    </row>
    <row r="288" spans="1:16" ht="15" customHeight="1" x14ac:dyDescent="0.25">
      <c r="A288" s="233"/>
      <c r="B288" s="14">
        <v>46155</v>
      </c>
      <c r="C288" s="12" t="s">
        <v>8</v>
      </c>
      <c r="D288" s="15">
        <v>32.700000000000003</v>
      </c>
      <c r="E288" s="15">
        <v>33</v>
      </c>
      <c r="F288" s="15">
        <v>33</v>
      </c>
      <c r="G288" s="15">
        <v>33</v>
      </c>
      <c r="H288" s="15">
        <v>33</v>
      </c>
      <c r="I288" s="15">
        <v>32.700000000000003</v>
      </c>
      <c r="J288" s="15">
        <v>33</v>
      </c>
      <c r="K288" s="15">
        <v>32.6</v>
      </c>
      <c r="L288" s="15">
        <v>32.700000000000003</v>
      </c>
      <c r="M288" s="15">
        <v>33</v>
      </c>
      <c r="N288" s="15">
        <v>32.6</v>
      </c>
      <c r="O288" s="15">
        <v>32.799999999999997</v>
      </c>
      <c r="P288" s="12"/>
    </row>
    <row r="289" spans="1:16" ht="15" customHeight="1" x14ac:dyDescent="0.25">
      <c r="A289" s="233"/>
      <c r="B289" s="14">
        <v>46156</v>
      </c>
      <c r="C289" s="12" t="s">
        <v>9</v>
      </c>
      <c r="D289" s="15">
        <v>33</v>
      </c>
      <c r="E289" s="15">
        <v>32.799999999999997</v>
      </c>
      <c r="F289" s="15">
        <v>32.799999999999997</v>
      </c>
      <c r="G289" s="15">
        <v>32.799999999999997</v>
      </c>
      <c r="H289" s="15">
        <v>32.5</v>
      </c>
      <c r="I289" s="15">
        <v>32.1</v>
      </c>
      <c r="J289" s="15">
        <v>31.8</v>
      </c>
      <c r="K289" s="15">
        <v>32</v>
      </c>
      <c r="L289" s="15">
        <v>31.6</v>
      </c>
      <c r="M289" s="15">
        <v>31.8</v>
      </c>
      <c r="N289" s="15">
        <v>32</v>
      </c>
      <c r="O289" s="15">
        <v>31.5</v>
      </c>
      <c r="P289" s="12"/>
    </row>
    <row r="290" spans="1:16" ht="15" customHeight="1" x14ac:dyDescent="0.25">
      <c r="A290" s="233"/>
      <c r="B290" s="14">
        <v>46157</v>
      </c>
      <c r="C290" s="12" t="s">
        <v>10</v>
      </c>
      <c r="D290" s="15">
        <v>31.9</v>
      </c>
      <c r="E290" s="15">
        <v>31.6</v>
      </c>
      <c r="F290" s="15">
        <v>31.6</v>
      </c>
      <c r="G290" s="15">
        <v>31.7</v>
      </c>
      <c r="H290" s="15">
        <v>31.9</v>
      </c>
      <c r="I290" s="15">
        <v>31.6</v>
      </c>
      <c r="J290" s="15">
        <v>31.9</v>
      </c>
      <c r="K290" s="15">
        <v>31.8</v>
      </c>
      <c r="L290" s="15">
        <v>31.6</v>
      </c>
      <c r="M290" s="15">
        <v>31.6</v>
      </c>
      <c r="N290" s="15">
        <v>32</v>
      </c>
      <c r="O290" s="15">
        <v>31.6</v>
      </c>
      <c r="P290" s="12"/>
    </row>
    <row r="291" spans="1:16" ht="15" customHeight="1" x14ac:dyDescent="0.25">
      <c r="A291" s="233"/>
      <c r="B291" s="14">
        <v>46158</v>
      </c>
      <c r="C291" s="12" t="s">
        <v>11</v>
      </c>
      <c r="D291" s="15">
        <v>32</v>
      </c>
      <c r="E291" s="15">
        <v>31.6</v>
      </c>
      <c r="F291" s="15">
        <v>31.6</v>
      </c>
      <c r="G291" s="15">
        <v>31.4</v>
      </c>
      <c r="H291" s="15">
        <v>31.4</v>
      </c>
      <c r="I291" s="15">
        <v>31.2</v>
      </c>
      <c r="J291" s="15">
        <v>30.9</v>
      </c>
      <c r="K291" s="15">
        <v>30.5</v>
      </c>
      <c r="L291" s="15">
        <v>30.7</v>
      </c>
      <c r="M291" s="15">
        <v>31</v>
      </c>
      <c r="N291" s="15">
        <v>31</v>
      </c>
      <c r="O291" s="15">
        <v>30.9</v>
      </c>
      <c r="P291" s="12"/>
    </row>
    <row r="292" spans="1:16" ht="15" customHeight="1" x14ac:dyDescent="0.25">
      <c r="A292" s="233"/>
      <c r="B292" s="14">
        <v>46159</v>
      </c>
      <c r="C292" s="12" t="s">
        <v>12</v>
      </c>
      <c r="D292" s="15">
        <v>30.7</v>
      </c>
      <c r="E292" s="15">
        <v>30.6</v>
      </c>
      <c r="F292" s="15">
        <v>30.8</v>
      </c>
      <c r="G292" s="15">
        <v>31.1</v>
      </c>
      <c r="H292" s="15">
        <v>31.2</v>
      </c>
      <c r="I292" s="15">
        <v>31.1</v>
      </c>
      <c r="J292" s="15">
        <v>30.9</v>
      </c>
      <c r="K292" s="15" t="s">
        <v>332</v>
      </c>
      <c r="L292" s="15">
        <v>30.7</v>
      </c>
      <c r="M292" s="15">
        <v>30.1</v>
      </c>
      <c r="N292" s="15">
        <v>29.7</v>
      </c>
      <c r="O292" s="15">
        <v>29.7</v>
      </c>
      <c r="P292" s="12"/>
    </row>
    <row r="293" spans="1:16" ht="15" customHeight="1" x14ac:dyDescent="0.25">
      <c r="A293" s="233"/>
      <c r="B293" s="14">
        <v>46160</v>
      </c>
      <c r="C293" s="12" t="s">
        <v>13</v>
      </c>
      <c r="D293" s="15">
        <v>29.7</v>
      </c>
      <c r="E293" s="15">
        <v>29.7</v>
      </c>
      <c r="F293" s="15">
        <v>30.3</v>
      </c>
      <c r="G293" s="15">
        <v>30.8</v>
      </c>
      <c r="H293" s="15">
        <v>31</v>
      </c>
      <c r="I293" s="15">
        <v>31</v>
      </c>
      <c r="J293" s="15">
        <v>30.9</v>
      </c>
      <c r="K293" s="15">
        <v>30.6</v>
      </c>
      <c r="L293" s="15">
        <v>30.5</v>
      </c>
      <c r="M293" s="15">
        <v>30.1</v>
      </c>
      <c r="N293" s="15">
        <v>29.8</v>
      </c>
      <c r="O293" s="15">
        <v>30</v>
      </c>
      <c r="P293" s="12"/>
    </row>
    <row r="294" spans="1:16" ht="15" customHeight="1" x14ac:dyDescent="0.25">
      <c r="A294" s="233"/>
      <c r="B294" s="14">
        <v>46161</v>
      </c>
      <c r="C294" s="12" t="s">
        <v>14</v>
      </c>
      <c r="D294" s="15">
        <v>29.9</v>
      </c>
      <c r="E294" s="15">
        <v>30.1</v>
      </c>
      <c r="F294" s="15">
        <v>30.78</v>
      </c>
      <c r="G294" s="15">
        <v>31.7</v>
      </c>
      <c r="H294" s="15">
        <v>31.9</v>
      </c>
      <c r="I294" s="15">
        <v>31.6</v>
      </c>
      <c r="J294" s="15">
        <v>31.5</v>
      </c>
      <c r="K294" s="15">
        <v>31</v>
      </c>
      <c r="L294" s="15">
        <v>30.8</v>
      </c>
      <c r="M294" s="15">
        <v>30.6</v>
      </c>
      <c r="N294" s="15">
        <v>30.1</v>
      </c>
      <c r="O294" s="15">
        <v>30</v>
      </c>
      <c r="P294" s="12"/>
    </row>
    <row r="295" spans="1:16" ht="15" customHeight="1" x14ac:dyDescent="0.25">
      <c r="A295" s="233"/>
      <c r="B295" s="14">
        <v>46162</v>
      </c>
      <c r="C295" s="12" t="s">
        <v>15</v>
      </c>
      <c r="D295" s="15">
        <v>30</v>
      </c>
      <c r="E295" s="15">
        <v>30.1</v>
      </c>
      <c r="F295" s="15">
        <v>30.1</v>
      </c>
      <c r="G295" s="15">
        <v>30.9</v>
      </c>
      <c r="H295" s="15">
        <v>31</v>
      </c>
      <c r="I295" s="15">
        <v>31</v>
      </c>
      <c r="J295" s="15">
        <v>30.9</v>
      </c>
      <c r="K295" s="15">
        <v>30.7</v>
      </c>
      <c r="L295" s="15">
        <v>30.1</v>
      </c>
      <c r="M295" s="15">
        <v>30.1</v>
      </c>
      <c r="N295" s="15">
        <v>29.9</v>
      </c>
      <c r="O295" s="15">
        <v>29.8</v>
      </c>
      <c r="P295" s="12"/>
    </row>
    <row r="296" spans="1:16" ht="15" customHeight="1" x14ac:dyDescent="0.25">
      <c r="A296" s="233"/>
      <c r="B296" s="14">
        <v>46163</v>
      </c>
      <c r="C296" s="12" t="s">
        <v>16</v>
      </c>
      <c r="D296" s="15">
        <v>29.9</v>
      </c>
      <c r="E296" s="15">
        <v>30.1</v>
      </c>
      <c r="F296" s="15">
        <v>30.3</v>
      </c>
      <c r="G296" s="15">
        <v>30.7</v>
      </c>
      <c r="H296" s="15">
        <v>30.7</v>
      </c>
      <c r="I296" s="15">
        <v>30.7</v>
      </c>
      <c r="J296" s="15">
        <v>30.6</v>
      </c>
      <c r="K296" s="15">
        <v>30.4</v>
      </c>
      <c r="L296" s="15">
        <v>30.3</v>
      </c>
      <c r="M296" s="15">
        <v>30</v>
      </c>
      <c r="N296" s="15">
        <v>29.8</v>
      </c>
      <c r="O296" s="15">
        <v>29.7</v>
      </c>
      <c r="P296" s="16"/>
    </row>
    <row r="297" spans="1:16" ht="15" customHeight="1" x14ac:dyDescent="0.25">
      <c r="A297" s="233"/>
      <c r="B297" s="14">
        <v>46164</v>
      </c>
      <c r="C297" s="12" t="s">
        <v>17</v>
      </c>
      <c r="D297" s="15">
        <v>29.9</v>
      </c>
      <c r="E297" s="15">
        <v>30.1</v>
      </c>
      <c r="F297" s="15">
        <v>30.7</v>
      </c>
      <c r="G297" s="15">
        <v>31</v>
      </c>
      <c r="H297" s="15">
        <v>31.1</v>
      </c>
      <c r="I297" s="15">
        <v>31.2</v>
      </c>
      <c r="J297" s="15">
        <v>31.2</v>
      </c>
      <c r="K297" s="15">
        <v>30.8</v>
      </c>
      <c r="L297" s="15">
        <v>30.5</v>
      </c>
      <c r="M297" s="15">
        <v>30</v>
      </c>
      <c r="N297" s="15">
        <v>30</v>
      </c>
      <c r="O297" s="15">
        <v>29.7</v>
      </c>
      <c r="P297" s="16"/>
    </row>
    <row r="298" spans="1:16" ht="15" customHeight="1" x14ac:dyDescent="0.25">
      <c r="A298" s="233"/>
      <c r="B298" s="14">
        <v>46165</v>
      </c>
      <c r="C298" s="17" t="s">
        <v>18</v>
      </c>
      <c r="D298" s="15">
        <v>29.8</v>
      </c>
      <c r="E298" s="15">
        <v>29.8</v>
      </c>
      <c r="F298" s="15">
        <v>30.2</v>
      </c>
      <c r="G298" s="15">
        <v>30.4</v>
      </c>
      <c r="H298" s="15">
        <v>30.3</v>
      </c>
      <c r="I298" s="15">
        <v>30.2</v>
      </c>
      <c r="J298" s="15">
        <v>29.9</v>
      </c>
      <c r="K298" s="15">
        <v>30.2</v>
      </c>
      <c r="L298" s="15">
        <v>29.7</v>
      </c>
      <c r="M298" s="15">
        <v>29.7</v>
      </c>
      <c r="N298" s="15">
        <v>29.8</v>
      </c>
      <c r="O298" s="15">
        <v>30</v>
      </c>
      <c r="P298" s="16"/>
    </row>
    <row r="299" spans="1:16" ht="15" customHeight="1" x14ac:dyDescent="0.25">
      <c r="A299" s="233"/>
      <c r="B299" s="14">
        <v>46166</v>
      </c>
      <c r="C299" s="17" t="s">
        <v>19</v>
      </c>
      <c r="D299" s="15">
        <v>29.7</v>
      </c>
      <c r="E299" s="15">
        <v>29.8</v>
      </c>
      <c r="F299" s="15">
        <v>29.8</v>
      </c>
      <c r="G299" s="15">
        <v>29.8</v>
      </c>
      <c r="H299" s="15">
        <v>30</v>
      </c>
      <c r="I299" s="15"/>
      <c r="J299" s="15"/>
      <c r="K299" s="15"/>
      <c r="L299" s="15"/>
      <c r="M299" s="15"/>
      <c r="N299" s="15"/>
      <c r="O299" s="15"/>
      <c r="P299" s="16"/>
    </row>
    <row r="300" spans="1:16" ht="15" customHeight="1" x14ac:dyDescent="0.25">
      <c r="A300" s="234"/>
      <c r="B300" s="14">
        <v>46167</v>
      </c>
      <c r="C300" s="17" t="s">
        <v>20</v>
      </c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6"/>
    </row>
    <row r="301" spans="1:16" ht="15" customHeight="1" x14ac:dyDescent="0.25">
      <c r="A301" s="232">
        <v>16</v>
      </c>
      <c r="B301" s="235" t="s">
        <v>0</v>
      </c>
      <c r="C301" s="235" t="s">
        <v>65</v>
      </c>
      <c r="D301" s="237" t="s">
        <v>1</v>
      </c>
      <c r="E301" s="238"/>
      <c r="F301" s="238"/>
      <c r="G301" s="238"/>
      <c r="H301" s="238"/>
      <c r="I301" s="238"/>
      <c r="J301" s="238"/>
      <c r="K301" s="238"/>
      <c r="L301" s="238"/>
      <c r="M301" s="238"/>
      <c r="N301" s="238"/>
      <c r="O301" s="239"/>
      <c r="P301" s="12" t="s">
        <v>2</v>
      </c>
    </row>
    <row r="302" spans="1:16" ht="15" customHeight="1" x14ac:dyDescent="0.25">
      <c r="A302" s="233"/>
      <c r="B302" s="236"/>
      <c r="C302" s="236"/>
      <c r="D302" s="13">
        <v>0.375</v>
      </c>
      <c r="E302" s="13">
        <v>0.45833333333333331</v>
      </c>
      <c r="F302" s="13">
        <v>0.54166666666666696</v>
      </c>
      <c r="G302" s="13">
        <v>0.625</v>
      </c>
      <c r="H302" s="13">
        <v>0.70833333333333304</v>
      </c>
      <c r="I302" s="13">
        <v>0.79166666666666696</v>
      </c>
      <c r="J302" s="13">
        <v>0.875</v>
      </c>
      <c r="K302" s="13">
        <v>0.95833333333333304</v>
      </c>
      <c r="L302" s="13">
        <v>1.0416666666666701</v>
      </c>
      <c r="M302" s="13">
        <v>1.125</v>
      </c>
      <c r="N302" s="13">
        <v>1.2083333333333299</v>
      </c>
      <c r="O302" s="13">
        <v>1.2916666666666601</v>
      </c>
      <c r="P302" s="12"/>
    </row>
    <row r="303" spans="1:16" ht="15" customHeight="1" x14ac:dyDescent="0.25">
      <c r="A303" s="233"/>
      <c r="B303" s="14">
        <v>46150</v>
      </c>
      <c r="C303" s="12" t="s">
        <v>3</v>
      </c>
      <c r="D303" s="15"/>
      <c r="E303" s="15"/>
      <c r="F303" s="15"/>
      <c r="G303" s="15"/>
      <c r="H303" s="15"/>
      <c r="I303" s="15">
        <v>33</v>
      </c>
      <c r="J303" s="15"/>
      <c r="K303" s="15">
        <v>32.799999999999997</v>
      </c>
      <c r="L303" s="15"/>
      <c r="M303" s="15">
        <v>32.6</v>
      </c>
      <c r="N303" s="15"/>
      <c r="O303" s="15">
        <v>32.9</v>
      </c>
      <c r="P303" s="16"/>
    </row>
    <row r="304" spans="1:16" ht="15" customHeight="1" x14ac:dyDescent="0.25">
      <c r="A304" s="233"/>
      <c r="B304" s="14">
        <v>46151</v>
      </c>
      <c r="C304" s="12" t="s">
        <v>4</v>
      </c>
      <c r="D304" s="15"/>
      <c r="E304" s="15">
        <v>33.9</v>
      </c>
      <c r="F304" s="15"/>
      <c r="G304" s="15">
        <v>33.9</v>
      </c>
      <c r="H304" s="15"/>
      <c r="I304" s="15">
        <v>33.9</v>
      </c>
      <c r="J304" s="15"/>
      <c r="K304" s="15">
        <v>33.9</v>
      </c>
      <c r="L304" s="15"/>
      <c r="M304" s="15">
        <v>33.9</v>
      </c>
      <c r="N304" s="15"/>
      <c r="O304" s="15">
        <v>34</v>
      </c>
      <c r="P304" s="12"/>
    </row>
    <row r="305" spans="1:16" ht="15" customHeight="1" x14ac:dyDescent="0.25">
      <c r="A305" s="233"/>
      <c r="B305" s="14">
        <v>46152</v>
      </c>
      <c r="C305" s="12" t="s">
        <v>5</v>
      </c>
      <c r="D305" s="15">
        <v>33.9</v>
      </c>
      <c r="E305" s="15">
        <v>33.700000000000003</v>
      </c>
      <c r="F305" s="15">
        <v>33.700000000000003</v>
      </c>
      <c r="G305" s="15">
        <v>33.700000000000003</v>
      </c>
      <c r="H305" s="15">
        <v>33.700000000000003</v>
      </c>
      <c r="I305" s="15">
        <v>34</v>
      </c>
      <c r="J305" s="15">
        <v>33.9</v>
      </c>
      <c r="K305" s="15">
        <v>33.6</v>
      </c>
      <c r="L305" s="15">
        <v>33.9</v>
      </c>
      <c r="M305" s="15">
        <v>33.799999999999997</v>
      </c>
      <c r="N305" s="15">
        <v>33.9</v>
      </c>
      <c r="O305" s="15">
        <v>33.700000000000003</v>
      </c>
      <c r="P305" s="12"/>
    </row>
    <row r="306" spans="1:16" ht="15" customHeight="1" x14ac:dyDescent="0.25">
      <c r="A306" s="233"/>
      <c r="B306" s="14">
        <v>46153</v>
      </c>
      <c r="C306" s="12" t="s">
        <v>6</v>
      </c>
      <c r="D306" s="15">
        <v>33.9</v>
      </c>
      <c r="E306" s="15">
        <v>34</v>
      </c>
      <c r="F306" s="15">
        <v>34</v>
      </c>
      <c r="G306" s="15">
        <v>34.200000000000003</v>
      </c>
      <c r="H306" s="15">
        <v>34.200000000000003</v>
      </c>
      <c r="I306" s="15">
        <v>33.799999999999997</v>
      </c>
      <c r="J306" s="15">
        <v>33.6</v>
      </c>
      <c r="K306" s="15">
        <v>33.9</v>
      </c>
      <c r="L306" s="15">
        <v>33.9</v>
      </c>
      <c r="M306" s="15">
        <v>33.9</v>
      </c>
      <c r="N306" s="15">
        <v>33.9</v>
      </c>
      <c r="O306" s="15">
        <v>33.5</v>
      </c>
      <c r="P306" s="12"/>
    </row>
    <row r="307" spans="1:16" ht="15" customHeight="1" x14ac:dyDescent="0.25">
      <c r="A307" s="233"/>
      <c r="B307" s="14">
        <v>46154</v>
      </c>
      <c r="C307" s="12" t="s">
        <v>7</v>
      </c>
      <c r="D307" s="15">
        <v>33.9</v>
      </c>
      <c r="E307" s="15">
        <v>33.700000000000003</v>
      </c>
      <c r="F307" s="15">
        <v>33.700000000000003</v>
      </c>
      <c r="G307" s="15">
        <v>33.799999999999997</v>
      </c>
      <c r="H307" s="15">
        <v>33.799999999999997</v>
      </c>
      <c r="I307" s="15">
        <v>33.700000000000003</v>
      </c>
      <c r="J307" s="15">
        <v>33.4</v>
      </c>
      <c r="K307" s="15">
        <v>32.9</v>
      </c>
      <c r="L307" s="15">
        <v>32.700000000000003</v>
      </c>
      <c r="M307" s="15">
        <v>32.700000000000003</v>
      </c>
      <c r="N307" s="15">
        <v>33</v>
      </c>
      <c r="O307" s="15">
        <v>32.799999999999997</v>
      </c>
      <c r="P307" s="12"/>
    </row>
    <row r="308" spans="1:16" ht="15" customHeight="1" x14ac:dyDescent="0.25">
      <c r="A308" s="233"/>
      <c r="B308" s="14">
        <v>46155</v>
      </c>
      <c r="C308" s="12" t="s">
        <v>8</v>
      </c>
      <c r="D308" s="15">
        <v>32.9</v>
      </c>
      <c r="E308" s="15">
        <v>32.9</v>
      </c>
      <c r="F308" s="15">
        <v>32.9</v>
      </c>
      <c r="G308" s="15">
        <v>33</v>
      </c>
      <c r="H308" s="15">
        <v>33.1</v>
      </c>
      <c r="I308" s="15">
        <v>32.9</v>
      </c>
      <c r="J308" s="15">
        <v>33</v>
      </c>
      <c r="K308" s="15">
        <v>32.6</v>
      </c>
      <c r="L308" s="15">
        <v>32.6</v>
      </c>
      <c r="M308" s="15">
        <v>32.9</v>
      </c>
      <c r="N308" s="15">
        <v>32.700000000000003</v>
      </c>
      <c r="O308" s="15">
        <v>32.700000000000003</v>
      </c>
      <c r="P308" s="12"/>
    </row>
    <row r="309" spans="1:16" ht="15" customHeight="1" x14ac:dyDescent="0.25">
      <c r="A309" s="233"/>
      <c r="B309" s="14">
        <v>46156</v>
      </c>
      <c r="C309" s="12" t="s">
        <v>9</v>
      </c>
      <c r="D309" s="15">
        <v>32.9</v>
      </c>
      <c r="E309" s="15">
        <v>32.799999999999997</v>
      </c>
      <c r="F309" s="15">
        <v>32.700000000000003</v>
      </c>
      <c r="G309" s="15">
        <v>32.700000000000003</v>
      </c>
      <c r="H309" s="15">
        <v>32.700000000000003</v>
      </c>
      <c r="I309" s="15">
        <v>32.6</v>
      </c>
      <c r="J309" s="15">
        <v>32.299999999999997</v>
      </c>
      <c r="K309" s="15">
        <v>31.8</v>
      </c>
      <c r="L309" s="15">
        <v>31.6</v>
      </c>
      <c r="M309" s="15">
        <v>31.8</v>
      </c>
      <c r="N309" s="15">
        <v>32</v>
      </c>
      <c r="O309" s="15">
        <v>31.6</v>
      </c>
      <c r="P309" s="12"/>
    </row>
    <row r="310" spans="1:16" ht="15" customHeight="1" x14ac:dyDescent="0.25">
      <c r="A310" s="233"/>
      <c r="B310" s="14">
        <v>46157</v>
      </c>
      <c r="C310" s="12" t="s">
        <v>10</v>
      </c>
      <c r="D310" s="15">
        <v>31.9</v>
      </c>
      <c r="E310" s="15">
        <v>31.8</v>
      </c>
      <c r="F310" s="15">
        <v>31.8</v>
      </c>
      <c r="G310" s="15">
        <v>32.1</v>
      </c>
      <c r="H310" s="15">
        <v>31.9</v>
      </c>
      <c r="I310" s="15">
        <v>31.7</v>
      </c>
      <c r="J310" s="15">
        <v>31.8</v>
      </c>
      <c r="K310" s="15">
        <v>31.7</v>
      </c>
      <c r="L310" s="15">
        <v>31.6</v>
      </c>
      <c r="M310" s="15">
        <v>31.6</v>
      </c>
      <c r="N310" s="15">
        <v>31.8</v>
      </c>
      <c r="O310" s="15">
        <v>31.9</v>
      </c>
      <c r="P310" s="12"/>
    </row>
    <row r="311" spans="1:16" ht="15" customHeight="1" x14ac:dyDescent="0.25">
      <c r="A311" s="233"/>
      <c r="B311" s="14">
        <v>46158</v>
      </c>
      <c r="C311" s="12" t="s">
        <v>11</v>
      </c>
      <c r="D311" s="15">
        <v>31.7</v>
      </c>
      <c r="E311" s="15">
        <v>31.9</v>
      </c>
      <c r="F311" s="15">
        <v>31.7</v>
      </c>
      <c r="G311" s="15">
        <v>31.5</v>
      </c>
      <c r="H311" s="15">
        <v>31.9</v>
      </c>
      <c r="I311" s="15">
        <v>31.5</v>
      </c>
      <c r="J311" s="15">
        <v>31.1</v>
      </c>
      <c r="K311" s="15">
        <v>30.8</v>
      </c>
      <c r="L311" s="15">
        <v>30.7</v>
      </c>
      <c r="M311" s="15">
        <v>31</v>
      </c>
      <c r="N311" s="15">
        <v>31</v>
      </c>
      <c r="O311" s="15">
        <v>30.8</v>
      </c>
      <c r="P311" s="12"/>
    </row>
    <row r="312" spans="1:16" ht="15" customHeight="1" x14ac:dyDescent="0.25">
      <c r="A312" s="233"/>
      <c r="B312" s="14">
        <v>46159</v>
      </c>
      <c r="C312" s="12" t="s">
        <v>12</v>
      </c>
      <c r="D312" s="15">
        <v>30.7</v>
      </c>
      <c r="E312" s="15">
        <v>30.6</v>
      </c>
      <c r="F312" s="15">
        <v>30.7</v>
      </c>
      <c r="G312" s="15">
        <v>30.9</v>
      </c>
      <c r="H312" s="15">
        <v>31.4</v>
      </c>
      <c r="I312" s="15">
        <v>31.4</v>
      </c>
      <c r="J312" s="15">
        <v>31.2</v>
      </c>
      <c r="K312" s="15">
        <v>30.9</v>
      </c>
      <c r="L312" s="15">
        <v>30.7</v>
      </c>
      <c r="M312" s="15">
        <v>30.5</v>
      </c>
      <c r="N312" s="15">
        <v>30.1</v>
      </c>
      <c r="O312" s="15">
        <v>30.1</v>
      </c>
      <c r="P312" s="12"/>
    </row>
    <row r="313" spans="1:16" ht="15" customHeight="1" x14ac:dyDescent="0.25">
      <c r="A313" s="233"/>
      <c r="B313" s="14">
        <v>46160</v>
      </c>
      <c r="C313" s="12" t="s">
        <v>13</v>
      </c>
      <c r="D313" s="15">
        <v>30.1</v>
      </c>
      <c r="E313" s="15">
        <v>30.1</v>
      </c>
      <c r="F313" s="15">
        <v>30.5</v>
      </c>
      <c r="G313" s="15">
        <v>30.9</v>
      </c>
      <c r="H313" s="15">
        <v>31.4</v>
      </c>
      <c r="I313" s="15">
        <v>31.4</v>
      </c>
      <c r="J313" s="15">
        <v>31.2</v>
      </c>
      <c r="K313" s="15">
        <v>31</v>
      </c>
      <c r="L313" s="15">
        <v>30.7</v>
      </c>
      <c r="M313" s="15">
        <v>30.6</v>
      </c>
      <c r="N313" s="15">
        <v>30.1</v>
      </c>
      <c r="O313" s="15">
        <v>30.1</v>
      </c>
      <c r="P313" s="12"/>
    </row>
    <row r="314" spans="1:16" ht="15" customHeight="1" x14ac:dyDescent="0.25">
      <c r="A314" s="233"/>
      <c r="B314" s="14">
        <v>46161</v>
      </c>
      <c r="C314" s="12" t="s">
        <v>14</v>
      </c>
      <c r="D314" s="15">
        <v>30</v>
      </c>
      <c r="E314" s="15">
        <v>30</v>
      </c>
      <c r="F314" s="15">
        <v>30.5</v>
      </c>
      <c r="G314" s="15">
        <v>30.9</v>
      </c>
      <c r="H314" s="15">
        <v>31.1</v>
      </c>
      <c r="I314" s="15">
        <v>31.1</v>
      </c>
      <c r="J314" s="15">
        <v>31</v>
      </c>
      <c r="K314" s="15">
        <v>30.7</v>
      </c>
      <c r="L314" s="15">
        <v>30.5</v>
      </c>
      <c r="M314" s="15">
        <v>30.4</v>
      </c>
      <c r="N314" s="15">
        <v>30.1</v>
      </c>
      <c r="O314" s="15">
        <v>30</v>
      </c>
      <c r="P314" s="12"/>
    </row>
    <row r="315" spans="1:16" ht="15" customHeight="1" x14ac:dyDescent="0.25">
      <c r="A315" s="233"/>
      <c r="B315" s="14">
        <v>46162</v>
      </c>
      <c r="C315" s="12" t="s">
        <v>15</v>
      </c>
      <c r="D315" s="15">
        <v>30</v>
      </c>
      <c r="E315" s="15">
        <v>30</v>
      </c>
      <c r="F315" s="15">
        <v>30.5</v>
      </c>
      <c r="G315" s="15">
        <v>30.5</v>
      </c>
      <c r="H315" s="15">
        <v>30.6</v>
      </c>
      <c r="I315" s="15">
        <v>30.6</v>
      </c>
      <c r="J315" s="15">
        <v>30.6</v>
      </c>
      <c r="K315" s="15">
        <v>30.5</v>
      </c>
      <c r="L315" s="15">
        <v>30</v>
      </c>
      <c r="M315" s="15">
        <v>30</v>
      </c>
      <c r="N315" s="15">
        <v>29.8</v>
      </c>
      <c r="O315" s="15">
        <v>29.7</v>
      </c>
      <c r="P315" s="12"/>
    </row>
    <row r="316" spans="1:16" ht="15" customHeight="1" x14ac:dyDescent="0.25">
      <c r="A316" s="233"/>
      <c r="B316" s="14">
        <v>46163</v>
      </c>
      <c r="C316" s="12" t="s">
        <v>16</v>
      </c>
      <c r="D316" s="15">
        <v>30</v>
      </c>
      <c r="E316" s="15">
        <v>30.1</v>
      </c>
      <c r="F316" s="15">
        <v>30.2</v>
      </c>
      <c r="G316" s="15">
        <v>30.5</v>
      </c>
      <c r="H316" s="15">
        <v>30.5</v>
      </c>
      <c r="I316" s="15">
        <v>30.5</v>
      </c>
      <c r="J316" s="15">
        <v>30.5</v>
      </c>
      <c r="K316" s="15">
        <v>30.4</v>
      </c>
      <c r="L316" s="15">
        <v>30.2</v>
      </c>
      <c r="M316" s="15">
        <v>30</v>
      </c>
      <c r="N316" s="15">
        <v>29.9</v>
      </c>
      <c r="O316" s="15">
        <v>29.7</v>
      </c>
      <c r="P316" s="16"/>
    </row>
    <row r="317" spans="1:16" ht="15" customHeight="1" x14ac:dyDescent="0.25">
      <c r="A317" s="233"/>
      <c r="B317" s="14">
        <v>46164</v>
      </c>
      <c r="C317" s="12" t="s">
        <v>17</v>
      </c>
      <c r="D317" s="15">
        <v>29.6</v>
      </c>
      <c r="E317" s="15">
        <v>29.6</v>
      </c>
      <c r="F317" s="15">
        <v>30.1</v>
      </c>
      <c r="G317" s="15">
        <v>30.3</v>
      </c>
      <c r="H317" s="15">
        <v>30.4</v>
      </c>
      <c r="I317" s="15">
        <v>30.5</v>
      </c>
      <c r="J317" s="15">
        <v>30.5</v>
      </c>
      <c r="K317" s="15">
        <v>30.3</v>
      </c>
      <c r="L317" s="15">
        <v>30.1</v>
      </c>
      <c r="M317" s="15">
        <v>29.9</v>
      </c>
      <c r="N317" s="15">
        <v>29.7</v>
      </c>
      <c r="O317" s="15">
        <v>30</v>
      </c>
      <c r="P317" s="16"/>
    </row>
    <row r="318" spans="1:16" ht="15" customHeight="1" x14ac:dyDescent="0.25">
      <c r="A318" s="233"/>
      <c r="B318" s="14">
        <v>46165</v>
      </c>
      <c r="C318" s="17" t="s">
        <v>18</v>
      </c>
      <c r="D318" s="15">
        <v>29.7</v>
      </c>
      <c r="E318" s="15">
        <v>29.8</v>
      </c>
      <c r="F318" s="15">
        <v>30.3</v>
      </c>
      <c r="G318" s="15">
        <v>30.4</v>
      </c>
      <c r="H318" s="15">
        <v>30.6</v>
      </c>
      <c r="I318" s="15">
        <v>30.6</v>
      </c>
      <c r="J318" s="15">
        <v>30.5</v>
      </c>
      <c r="K318" s="15">
        <v>30.2</v>
      </c>
      <c r="L318" s="15">
        <v>30.1</v>
      </c>
      <c r="M318" s="15">
        <v>29.9</v>
      </c>
      <c r="N318" s="15">
        <v>29.7</v>
      </c>
      <c r="O318" s="15">
        <v>29.6</v>
      </c>
      <c r="P318" s="16"/>
    </row>
    <row r="319" spans="1:16" ht="15" customHeight="1" x14ac:dyDescent="0.25">
      <c r="A319" s="233"/>
      <c r="B319" s="14">
        <v>46166</v>
      </c>
      <c r="C319" s="17" t="s">
        <v>19</v>
      </c>
      <c r="D319" s="15">
        <v>30</v>
      </c>
      <c r="E319" s="15">
        <v>29.9</v>
      </c>
      <c r="F319" s="15">
        <v>29.9</v>
      </c>
      <c r="G319" s="15">
        <v>30.1</v>
      </c>
      <c r="H319" s="15">
        <v>31.2</v>
      </c>
      <c r="I319" s="15"/>
      <c r="J319" s="15"/>
      <c r="K319" s="15"/>
      <c r="L319" s="15"/>
      <c r="M319" s="15"/>
      <c r="N319" s="15"/>
      <c r="O319" s="15"/>
      <c r="P319" s="16"/>
    </row>
    <row r="320" spans="1:16" ht="15" customHeight="1" x14ac:dyDescent="0.25">
      <c r="A320" s="234"/>
      <c r="B320" s="14">
        <v>46167</v>
      </c>
      <c r="C320" s="17" t="s">
        <v>20</v>
      </c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6"/>
    </row>
    <row r="321" spans="1:18" ht="15" customHeight="1" x14ac:dyDescent="0.25">
      <c r="A321" s="232">
        <v>17</v>
      </c>
      <c r="B321" s="235" t="s">
        <v>0</v>
      </c>
      <c r="C321" s="235" t="s">
        <v>65</v>
      </c>
      <c r="D321" s="237" t="s">
        <v>1</v>
      </c>
      <c r="E321" s="238"/>
      <c r="F321" s="238"/>
      <c r="G321" s="238"/>
      <c r="H321" s="238"/>
      <c r="I321" s="238"/>
      <c r="J321" s="238"/>
      <c r="K321" s="238"/>
      <c r="L321" s="238"/>
      <c r="M321" s="238"/>
      <c r="N321" s="238"/>
      <c r="O321" s="239"/>
      <c r="P321" s="12" t="s">
        <v>2</v>
      </c>
    </row>
    <row r="322" spans="1:18" ht="15" customHeight="1" x14ac:dyDescent="0.25">
      <c r="A322" s="233"/>
      <c r="B322" s="236"/>
      <c r="C322" s="236"/>
      <c r="D322" s="13">
        <v>0.375</v>
      </c>
      <c r="E322" s="13">
        <v>0.45833333333333331</v>
      </c>
      <c r="F322" s="13">
        <v>0.54166666666666696</v>
      </c>
      <c r="G322" s="13">
        <v>0.625</v>
      </c>
      <c r="H322" s="13">
        <v>0.70833333333333304</v>
      </c>
      <c r="I322" s="13">
        <v>0.79166666666666696</v>
      </c>
      <c r="J322" s="13">
        <v>0.875</v>
      </c>
      <c r="K322" s="13">
        <v>0.95833333333333304</v>
      </c>
      <c r="L322" s="13">
        <v>1.0416666666666701</v>
      </c>
      <c r="M322" s="13">
        <v>1.125</v>
      </c>
      <c r="N322" s="13">
        <v>1.2083333333333299</v>
      </c>
      <c r="O322" s="13">
        <v>1.2916666666666601</v>
      </c>
      <c r="P322" s="12"/>
    </row>
    <row r="323" spans="1:18" ht="15" customHeight="1" x14ac:dyDescent="0.25">
      <c r="A323" s="233"/>
      <c r="B323" s="14">
        <v>46150</v>
      </c>
      <c r="C323" s="12" t="s">
        <v>3</v>
      </c>
      <c r="D323" s="15"/>
      <c r="E323" s="15"/>
      <c r="F323" s="15"/>
      <c r="G323" s="15"/>
      <c r="H323" s="15">
        <v>33</v>
      </c>
      <c r="I323" s="15">
        <v>33</v>
      </c>
      <c r="J323" s="15"/>
      <c r="K323" s="15">
        <v>32.4</v>
      </c>
      <c r="L323" s="15"/>
      <c r="M323" s="15">
        <v>33</v>
      </c>
      <c r="N323" s="15"/>
      <c r="O323" s="15">
        <v>32.200000000000003</v>
      </c>
      <c r="P323" s="16"/>
    </row>
    <row r="324" spans="1:18" ht="15" customHeight="1" x14ac:dyDescent="0.25">
      <c r="A324" s="233"/>
      <c r="B324" s="14">
        <v>46151</v>
      </c>
      <c r="C324" s="12" t="s">
        <v>4</v>
      </c>
      <c r="D324" s="15"/>
      <c r="E324" s="15">
        <v>33.9</v>
      </c>
      <c r="F324" s="15"/>
      <c r="G324" s="15">
        <v>34.1</v>
      </c>
      <c r="H324" s="15"/>
      <c r="I324" s="15">
        <v>33.4</v>
      </c>
      <c r="J324" s="15"/>
      <c r="K324" s="15">
        <v>34</v>
      </c>
      <c r="L324" s="15"/>
      <c r="M324" s="15">
        <v>33.700000000000003</v>
      </c>
      <c r="N324" s="15"/>
      <c r="O324" s="15">
        <v>33.4</v>
      </c>
      <c r="P324" s="12"/>
    </row>
    <row r="325" spans="1:18" ht="15" customHeight="1" x14ac:dyDescent="0.25">
      <c r="A325" s="233"/>
      <c r="B325" s="14">
        <v>46152</v>
      </c>
      <c r="C325" s="12" t="s">
        <v>5</v>
      </c>
      <c r="D325" s="15">
        <v>33.200000000000003</v>
      </c>
      <c r="E325" s="15">
        <v>33.200000000000003</v>
      </c>
      <c r="F325" s="15">
        <v>33.200000000000003</v>
      </c>
      <c r="G325" s="15">
        <v>33.299999999999997</v>
      </c>
      <c r="H325" s="15">
        <v>33.299999999999997</v>
      </c>
      <c r="I325" s="15">
        <v>33.299999999999997</v>
      </c>
      <c r="J325" s="15">
        <v>33.21</v>
      </c>
      <c r="K325" s="15">
        <v>34</v>
      </c>
      <c r="L325" s="15">
        <v>34</v>
      </c>
      <c r="M325" s="15">
        <v>33.9</v>
      </c>
      <c r="N325" s="15">
        <v>33.5</v>
      </c>
      <c r="O325" s="15">
        <v>33.9</v>
      </c>
      <c r="P325" s="12"/>
    </row>
    <row r="326" spans="1:18" ht="15" customHeight="1" x14ac:dyDescent="0.25">
      <c r="A326" s="233"/>
      <c r="B326" s="14">
        <v>46153</v>
      </c>
      <c r="C326" s="12" t="s">
        <v>6</v>
      </c>
      <c r="D326" s="15">
        <v>33.700000000000003</v>
      </c>
      <c r="E326" s="15">
        <v>33.200000000000003</v>
      </c>
      <c r="F326" s="15">
        <v>33.200000000000003</v>
      </c>
      <c r="G326" s="15">
        <v>33.5</v>
      </c>
      <c r="H326" s="15">
        <v>33.700000000000003</v>
      </c>
      <c r="I326" s="15">
        <v>33.5</v>
      </c>
      <c r="J326" s="15">
        <v>33.4</v>
      </c>
      <c r="K326" s="15">
        <v>33.299999999999997</v>
      </c>
      <c r="L326" s="15">
        <v>33.9</v>
      </c>
      <c r="M326" s="15">
        <v>33.6</v>
      </c>
      <c r="N326" s="15">
        <v>33.299999999999997</v>
      </c>
      <c r="O326" s="15">
        <v>33.9</v>
      </c>
      <c r="P326" s="12"/>
    </row>
    <row r="327" spans="1:18" ht="15" customHeight="1" x14ac:dyDescent="0.25">
      <c r="A327" s="233"/>
      <c r="B327" s="14">
        <v>46154</v>
      </c>
      <c r="C327" s="12" t="s">
        <v>7</v>
      </c>
      <c r="D327" s="15">
        <v>33.5</v>
      </c>
      <c r="E327" s="15">
        <v>33.4</v>
      </c>
      <c r="F327" s="15">
        <v>33.4</v>
      </c>
      <c r="G327" s="15">
        <v>33.700000000000003</v>
      </c>
      <c r="H327" s="15">
        <v>33.700000000000003</v>
      </c>
      <c r="I327" s="15">
        <v>33.4</v>
      </c>
      <c r="J327" s="15">
        <v>33.1</v>
      </c>
      <c r="K327" s="15">
        <v>32.6</v>
      </c>
      <c r="L327" s="15">
        <v>32.4</v>
      </c>
      <c r="M327" s="15">
        <v>33</v>
      </c>
      <c r="N327" s="15">
        <v>32.4</v>
      </c>
      <c r="O327" s="15">
        <v>32.200000000000003</v>
      </c>
      <c r="P327" s="12"/>
    </row>
    <row r="328" spans="1:18" ht="15" customHeight="1" x14ac:dyDescent="0.25">
      <c r="A328" s="233"/>
      <c r="B328" s="14">
        <v>46155</v>
      </c>
      <c r="C328" s="12" t="s">
        <v>8</v>
      </c>
      <c r="D328" s="15">
        <v>32.799999999999997</v>
      </c>
      <c r="E328" s="15">
        <v>32.9</v>
      </c>
      <c r="F328" s="15">
        <v>32.9</v>
      </c>
      <c r="G328" s="15">
        <v>33.1</v>
      </c>
      <c r="H328" s="15">
        <v>33.1</v>
      </c>
      <c r="I328" s="15">
        <v>32.799999999999997</v>
      </c>
      <c r="J328" s="15">
        <v>32.4</v>
      </c>
      <c r="K328" s="15">
        <v>32.1</v>
      </c>
      <c r="L328" s="15">
        <v>32.700000000000003</v>
      </c>
      <c r="M328" s="15">
        <v>32.200000000000003</v>
      </c>
      <c r="N328" s="15">
        <v>32.9</v>
      </c>
      <c r="O328" s="15">
        <v>32.299999999999997</v>
      </c>
      <c r="P328" s="12"/>
    </row>
    <row r="329" spans="1:18" ht="15" customHeight="1" x14ac:dyDescent="0.25">
      <c r="A329" s="233"/>
      <c r="B329" s="14">
        <v>46156</v>
      </c>
      <c r="C329" s="12" t="s">
        <v>9</v>
      </c>
      <c r="D329" s="15">
        <v>32.74</v>
      </c>
      <c r="E329" s="15">
        <v>33</v>
      </c>
      <c r="F329" s="15">
        <v>33.200000000000003</v>
      </c>
      <c r="G329" s="15">
        <v>33.299999999999997</v>
      </c>
      <c r="H329" s="15">
        <v>33.299999999999997</v>
      </c>
      <c r="I329" s="15">
        <v>32.9</v>
      </c>
      <c r="J329" s="15">
        <v>32.6</v>
      </c>
      <c r="K329" s="15">
        <v>32.1</v>
      </c>
      <c r="L329" s="15">
        <v>31.7</v>
      </c>
      <c r="M329" s="15">
        <v>31.2</v>
      </c>
      <c r="N329" s="15">
        <v>31</v>
      </c>
      <c r="O329" s="15">
        <v>31.8</v>
      </c>
      <c r="P329" s="12"/>
    </row>
    <row r="330" spans="1:18" ht="15" customHeight="1" x14ac:dyDescent="0.25">
      <c r="A330" s="233"/>
      <c r="B330" s="14">
        <v>46157</v>
      </c>
      <c r="C330" s="12" t="s">
        <v>10</v>
      </c>
      <c r="D330" s="15">
        <v>31.5</v>
      </c>
      <c r="E330" s="15">
        <v>31.4</v>
      </c>
      <c r="F330" s="15">
        <v>31.9</v>
      </c>
      <c r="G330" s="15">
        <v>32.4</v>
      </c>
      <c r="H330" s="15">
        <v>32.4</v>
      </c>
      <c r="I330" s="15">
        <v>32.1</v>
      </c>
      <c r="J330" s="15">
        <v>31.7</v>
      </c>
      <c r="K330" s="15">
        <v>31.3</v>
      </c>
      <c r="L330" s="15">
        <v>31</v>
      </c>
      <c r="M330" s="15">
        <v>31.7</v>
      </c>
      <c r="N330" s="15">
        <v>31.4</v>
      </c>
      <c r="O330" s="15">
        <v>31.1</v>
      </c>
      <c r="P330" s="12"/>
      <c r="R330" s="18"/>
    </row>
    <row r="331" spans="1:18" ht="15" customHeight="1" x14ac:dyDescent="0.25">
      <c r="A331" s="233"/>
      <c r="B331" s="14">
        <v>46158</v>
      </c>
      <c r="C331" s="12" t="s">
        <v>11</v>
      </c>
      <c r="D331" s="15">
        <v>32</v>
      </c>
      <c r="E331" s="15">
        <v>31.7</v>
      </c>
      <c r="F331" s="15">
        <v>31.6</v>
      </c>
      <c r="G331" s="15">
        <v>31.5</v>
      </c>
      <c r="H331" s="15">
        <v>31.4</v>
      </c>
      <c r="I331" s="15">
        <v>31.2</v>
      </c>
      <c r="J331" s="15">
        <v>31</v>
      </c>
      <c r="K331" s="15">
        <v>30.6</v>
      </c>
      <c r="L331" s="15">
        <v>30.2</v>
      </c>
      <c r="M331" s="15">
        <v>30.1</v>
      </c>
      <c r="N331" s="15">
        <v>30.3</v>
      </c>
      <c r="O331" s="15">
        <v>30.7</v>
      </c>
      <c r="P331" s="12"/>
    </row>
    <row r="332" spans="1:18" ht="15" customHeight="1" x14ac:dyDescent="0.25">
      <c r="A332" s="233"/>
      <c r="B332" s="14">
        <v>46159</v>
      </c>
      <c r="C332" s="12" t="s">
        <v>12</v>
      </c>
      <c r="D332" s="15">
        <v>30.6</v>
      </c>
      <c r="E332" s="15">
        <v>30.5</v>
      </c>
      <c r="F332" s="15">
        <v>31</v>
      </c>
      <c r="G332" s="15">
        <v>31.6</v>
      </c>
      <c r="H332" s="15">
        <v>31.9</v>
      </c>
      <c r="I332" s="15">
        <v>31.8</v>
      </c>
      <c r="J332" s="15">
        <v>31.5</v>
      </c>
      <c r="K332" s="15">
        <v>31.2</v>
      </c>
      <c r="L332" s="15">
        <v>30.8</v>
      </c>
      <c r="M332" s="15">
        <v>30.6</v>
      </c>
      <c r="N332" s="15">
        <v>30.3</v>
      </c>
      <c r="O332" s="15">
        <v>30.2</v>
      </c>
      <c r="P332" s="12"/>
    </row>
    <row r="333" spans="1:18" ht="15" customHeight="1" x14ac:dyDescent="0.25">
      <c r="A333" s="233"/>
      <c r="B333" s="14">
        <v>46160</v>
      </c>
      <c r="C333" s="12" t="s">
        <v>13</v>
      </c>
      <c r="D333" s="15">
        <v>30.1</v>
      </c>
      <c r="E333" s="15">
        <v>30.7</v>
      </c>
      <c r="F333" s="15">
        <v>31.2</v>
      </c>
      <c r="G333" s="15">
        <v>32.1</v>
      </c>
      <c r="H333" s="15">
        <v>32.5</v>
      </c>
      <c r="I333" s="15">
        <v>32.4</v>
      </c>
      <c r="J333" s="15">
        <v>32</v>
      </c>
      <c r="K333" s="15">
        <v>31.6</v>
      </c>
      <c r="L333" s="15">
        <v>31.5</v>
      </c>
      <c r="M333" s="15">
        <v>31</v>
      </c>
      <c r="N333" s="15">
        <v>30.7</v>
      </c>
      <c r="O333" s="15">
        <v>30.4</v>
      </c>
      <c r="P333" s="12"/>
    </row>
    <row r="334" spans="1:18" ht="15" customHeight="1" x14ac:dyDescent="0.25">
      <c r="A334" s="233"/>
      <c r="B334" s="14">
        <v>46161</v>
      </c>
      <c r="C334" s="12" t="s">
        <v>14</v>
      </c>
      <c r="D334" s="15">
        <v>30.2</v>
      </c>
      <c r="E334" s="15">
        <v>30.4</v>
      </c>
      <c r="F334" s="15">
        <v>30.6</v>
      </c>
      <c r="G334" s="15">
        <v>31.1</v>
      </c>
      <c r="H334" s="15">
        <v>31.4</v>
      </c>
      <c r="I334" s="15">
        <v>31.4</v>
      </c>
      <c r="J334" s="15">
        <v>31.4</v>
      </c>
      <c r="K334" s="15">
        <v>31.2</v>
      </c>
      <c r="L334" s="15">
        <v>31.2</v>
      </c>
      <c r="M334" s="15">
        <v>31.2</v>
      </c>
      <c r="N334" s="15">
        <v>30.9</v>
      </c>
      <c r="O334" s="15">
        <v>30</v>
      </c>
      <c r="P334" s="12"/>
    </row>
    <row r="335" spans="1:18" ht="15" customHeight="1" x14ac:dyDescent="0.25">
      <c r="A335" s="233"/>
      <c r="B335" s="14">
        <v>46162</v>
      </c>
      <c r="C335" s="12" t="s">
        <v>15</v>
      </c>
      <c r="D335" s="15">
        <v>30</v>
      </c>
      <c r="E335" s="15">
        <v>30.4</v>
      </c>
      <c r="F335" s="15">
        <v>30.8</v>
      </c>
      <c r="G335" s="15">
        <v>30.9</v>
      </c>
      <c r="H335" s="15">
        <v>31</v>
      </c>
      <c r="I335" s="15">
        <v>31</v>
      </c>
      <c r="J335" s="15">
        <v>30.7</v>
      </c>
      <c r="K335" s="15">
        <v>30.7</v>
      </c>
      <c r="L335" s="15">
        <v>30.5</v>
      </c>
      <c r="M335" s="15">
        <v>30.4</v>
      </c>
      <c r="N335" s="15">
        <v>30.2</v>
      </c>
      <c r="O335" s="15">
        <v>29.5</v>
      </c>
      <c r="P335" s="12"/>
    </row>
    <row r="336" spans="1:18" ht="15" customHeight="1" x14ac:dyDescent="0.25">
      <c r="A336" s="233"/>
      <c r="B336" s="14">
        <v>46163</v>
      </c>
      <c r="C336" s="12" t="s">
        <v>16</v>
      </c>
      <c r="D336" s="15">
        <v>30</v>
      </c>
      <c r="E336" s="15">
        <v>30.1</v>
      </c>
      <c r="F336" s="15">
        <v>30.4</v>
      </c>
      <c r="G336" s="15">
        <v>30.4</v>
      </c>
      <c r="H336" s="15">
        <v>30.6</v>
      </c>
      <c r="I336" s="15">
        <v>30.6</v>
      </c>
      <c r="J336" s="15">
        <v>30.6</v>
      </c>
      <c r="K336" s="15">
        <v>30.4</v>
      </c>
      <c r="L336" s="15">
        <v>30.1</v>
      </c>
      <c r="M336" s="15">
        <v>30.1</v>
      </c>
      <c r="N336" s="15">
        <v>29.9</v>
      </c>
      <c r="O336" s="15">
        <v>29.6</v>
      </c>
      <c r="P336" s="16"/>
    </row>
    <row r="337" spans="1:16" ht="15" customHeight="1" x14ac:dyDescent="0.25">
      <c r="A337" s="233"/>
      <c r="B337" s="14">
        <v>46164</v>
      </c>
      <c r="C337" s="12" t="s">
        <v>17</v>
      </c>
      <c r="D337" s="15">
        <v>29.6</v>
      </c>
      <c r="E337" s="15">
        <v>29.6</v>
      </c>
      <c r="F337" s="15">
        <v>29.9</v>
      </c>
      <c r="G337" s="15">
        <v>30.3</v>
      </c>
      <c r="H337" s="15">
        <v>30.4</v>
      </c>
      <c r="I337" s="15">
        <v>30.4</v>
      </c>
      <c r="J337" s="15">
        <v>30.4</v>
      </c>
      <c r="K337" s="15">
        <v>30.2</v>
      </c>
      <c r="L337" s="15">
        <v>30.1</v>
      </c>
      <c r="M337" s="15">
        <v>29.9</v>
      </c>
      <c r="N337" s="15">
        <v>29.6</v>
      </c>
      <c r="O337" s="15">
        <v>30</v>
      </c>
      <c r="P337" s="16"/>
    </row>
    <row r="338" spans="1:16" ht="15" customHeight="1" x14ac:dyDescent="0.25">
      <c r="A338" s="233"/>
      <c r="B338" s="14">
        <v>46165</v>
      </c>
      <c r="C338" s="17" t="s">
        <v>18</v>
      </c>
      <c r="D338" s="15">
        <v>29.9</v>
      </c>
      <c r="E338" s="15">
        <v>29.9</v>
      </c>
      <c r="F338" s="15">
        <v>30.1</v>
      </c>
      <c r="G338" s="15">
        <v>30.4</v>
      </c>
      <c r="H338" s="15">
        <v>30.4</v>
      </c>
      <c r="I338" s="15">
        <v>30.4</v>
      </c>
      <c r="J338" s="15">
        <v>30.4</v>
      </c>
      <c r="K338" s="15">
        <v>30.1</v>
      </c>
      <c r="L338" s="15">
        <v>30</v>
      </c>
      <c r="M338" s="15">
        <v>29.7</v>
      </c>
      <c r="N338" s="15">
        <v>29.6</v>
      </c>
      <c r="O338" s="15">
        <v>29.6</v>
      </c>
      <c r="P338" s="16"/>
    </row>
    <row r="339" spans="1:16" ht="15" customHeight="1" x14ac:dyDescent="0.25">
      <c r="A339" s="233"/>
      <c r="B339" s="14">
        <v>46166</v>
      </c>
      <c r="C339" s="17" t="s">
        <v>19</v>
      </c>
      <c r="D339" s="15">
        <v>30</v>
      </c>
      <c r="E339" s="15">
        <v>30</v>
      </c>
      <c r="F339" s="15">
        <v>30</v>
      </c>
      <c r="G339" s="15">
        <v>30.4</v>
      </c>
      <c r="H339" s="15">
        <v>30.4</v>
      </c>
      <c r="I339" s="15"/>
      <c r="J339" s="15"/>
      <c r="K339" s="15"/>
      <c r="L339" s="15"/>
      <c r="M339" s="15"/>
      <c r="N339" s="15"/>
      <c r="O339" s="15"/>
      <c r="P339" s="16"/>
    </row>
    <row r="340" spans="1:16" ht="15" customHeight="1" x14ac:dyDescent="0.25">
      <c r="A340" s="234"/>
      <c r="B340" s="14">
        <v>46167</v>
      </c>
      <c r="C340" s="17" t="s">
        <v>20</v>
      </c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6"/>
    </row>
    <row r="341" spans="1:16" ht="15" customHeight="1" x14ac:dyDescent="0.25">
      <c r="A341" s="232">
        <v>18</v>
      </c>
      <c r="B341" s="235" t="s">
        <v>0</v>
      </c>
      <c r="C341" s="235" t="s">
        <v>65</v>
      </c>
      <c r="D341" s="237" t="s">
        <v>1</v>
      </c>
      <c r="E341" s="238"/>
      <c r="F341" s="238"/>
      <c r="G341" s="238"/>
      <c r="H341" s="238"/>
      <c r="I341" s="238"/>
      <c r="J341" s="238"/>
      <c r="K341" s="238"/>
      <c r="L341" s="238"/>
      <c r="M341" s="238"/>
      <c r="N341" s="238"/>
      <c r="O341" s="239"/>
      <c r="P341" s="12" t="s">
        <v>2</v>
      </c>
    </row>
    <row r="342" spans="1:16" ht="15" customHeight="1" x14ac:dyDescent="0.25">
      <c r="A342" s="233"/>
      <c r="B342" s="236"/>
      <c r="C342" s="236"/>
      <c r="D342" s="13">
        <v>0.375</v>
      </c>
      <c r="E342" s="13">
        <v>0.45833333333333331</v>
      </c>
      <c r="F342" s="13">
        <v>0.54166666666666696</v>
      </c>
      <c r="G342" s="13">
        <v>0.625</v>
      </c>
      <c r="H342" s="13">
        <v>0.70833333333333304</v>
      </c>
      <c r="I342" s="13">
        <v>0.79166666666666696</v>
      </c>
      <c r="J342" s="13">
        <v>0.875</v>
      </c>
      <c r="K342" s="13">
        <v>0.95833333333333304</v>
      </c>
      <c r="L342" s="13">
        <v>1.0416666666666701</v>
      </c>
      <c r="M342" s="13">
        <v>1.125</v>
      </c>
      <c r="N342" s="13">
        <v>1.2083333333333299</v>
      </c>
      <c r="O342" s="13">
        <v>1.2916666666666601</v>
      </c>
      <c r="P342" s="12"/>
    </row>
    <row r="343" spans="1:16" ht="15" customHeight="1" x14ac:dyDescent="0.25">
      <c r="A343" s="233"/>
      <c r="B343" s="14">
        <v>46150</v>
      </c>
      <c r="C343" s="12" t="s">
        <v>3</v>
      </c>
      <c r="D343" s="15"/>
      <c r="E343" s="15"/>
      <c r="F343" s="15"/>
      <c r="G343" s="15"/>
      <c r="H343" s="15"/>
      <c r="I343" s="15">
        <v>33</v>
      </c>
      <c r="J343" s="15"/>
      <c r="K343" s="15">
        <v>32.5</v>
      </c>
      <c r="L343" s="15"/>
      <c r="M343" s="15">
        <v>32.5</v>
      </c>
      <c r="N343" s="15"/>
      <c r="O343" s="15">
        <v>32.700000000000003</v>
      </c>
      <c r="P343" s="16"/>
    </row>
    <row r="344" spans="1:16" ht="15" customHeight="1" x14ac:dyDescent="0.25">
      <c r="A344" s="233"/>
      <c r="B344" s="14">
        <v>46151</v>
      </c>
      <c r="C344" s="12" t="s">
        <v>4</v>
      </c>
      <c r="D344" s="15"/>
      <c r="E344" s="15">
        <v>34</v>
      </c>
      <c r="F344" s="15"/>
      <c r="G344" s="15">
        <v>34.4</v>
      </c>
      <c r="H344" s="15"/>
      <c r="I344" s="15">
        <v>33.799999999999997</v>
      </c>
      <c r="J344" s="15"/>
      <c r="K344" s="15">
        <v>33.799999999999997</v>
      </c>
      <c r="L344" s="15"/>
      <c r="M344" s="15">
        <v>34</v>
      </c>
      <c r="N344" s="15"/>
      <c r="O344" s="15">
        <v>33.5</v>
      </c>
      <c r="P344" s="12"/>
    </row>
    <row r="345" spans="1:16" ht="15" customHeight="1" x14ac:dyDescent="0.25">
      <c r="A345" s="233"/>
      <c r="B345" s="14">
        <v>46152</v>
      </c>
      <c r="C345" s="12" t="s">
        <v>5</v>
      </c>
      <c r="D345" s="15">
        <v>34</v>
      </c>
      <c r="E345" s="15">
        <v>34</v>
      </c>
      <c r="F345" s="15">
        <v>34</v>
      </c>
      <c r="G345" s="15">
        <v>34.200000000000003</v>
      </c>
      <c r="H345" s="15">
        <v>34.200000000000003</v>
      </c>
      <c r="I345" s="15">
        <v>34</v>
      </c>
      <c r="J345" s="15">
        <v>33.799999999999997</v>
      </c>
      <c r="K345" s="15">
        <v>33.700000000000003</v>
      </c>
      <c r="L345" s="15">
        <v>33.700000000000003</v>
      </c>
      <c r="M345" s="15">
        <v>33.6</v>
      </c>
      <c r="N345" s="15">
        <v>34</v>
      </c>
      <c r="O345" s="15">
        <v>33.799999999999997</v>
      </c>
      <c r="P345" s="12"/>
    </row>
    <row r="346" spans="1:16" ht="15" customHeight="1" x14ac:dyDescent="0.25">
      <c r="A346" s="233"/>
      <c r="B346" s="14">
        <v>46153</v>
      </c>
      <c r="C346" s="12" t="s">
        <v>6</v>
      </c>
      <c r="D346" s="15">
        <v>33.799999999999997</v>
      </c>
      <c r="E346" s="15">
        <v>34</v>
      </c>
      <c r="F346" s="15">
        <v>34.200000000000003</v>
      </c>
      <c r="G346" s="15">
        <v>34.4</v>
      </c>
      <c r="H346" s="15">
        <v>34.5</v>
      </c>
      <c r="I346" s="15">
        <v>34.1</v>
      </c>
      <c r="J346" s="15">
        <v>33.9</v>
      </c>
      <c r="K346" s="15">
        <v>33.700000000000003</v>
      </c>
      <c r="L346" s="15">
        <v>33.9</v>
      </c>
      <c r="M346" s="15">
        <v>33.6</v>
      </c>
      <c r="N346" s="15">
        <v>34</v>
      </c>
      <c r="O346" s="15">
        <v>33.5</v>
      </c>
      <c r="P346" s="12"/>
    </row>
    <row r="347" spans="1:16" ht="15" customHeight="1" x14ac:dyDescent="0.25">
      <c r="A347" s="233"/>
      <c r="B347" s="14">
        <v>46154</v>
      </c>
      <c r="C347" s="12" t="s">
        <v>7</v>
      </c>
      <c r="D347" s="15">
        <v>34</v>
      </c>
      <c r="E347" s="15">
        <v>33.9</v>
      </c>
      <c r="F347" s="15">
        <v>34</v>
      </c>
      <c r="G347" s="15">
        <v>34.299999999999997</v>
      </c>
      <c r="H347" s="15">
        <v>34.299999999999997</v>
      </c>
      <c r="I347" s="15">
        <v>34</v>
      </c>
      <c r="J347" s="15">
        <v>33.700000000000003</v>
      </c>
      <c r="K347" s="15">
        <v>33.1</v>
      </c>
      <c r="L347" s="15">
        <v>32.700000000000003</v>
      </c>
      <c r="M347" s="15">
        <v>33</v>
      </c>
      <c r="N347" s="15">
        <v>32.700000000000003</v>
      </c>
      <c r="O347" s="15">
        <v>32.5</v>
      </c>
      <c r="P347" s="12"/>
    </row>
    <row r="348" spans="1:16" ht="15" customHeight="1" x14ac:dyDescent="0.25">
      <c r="A348" s="233"/>
      <c r="B348" s="14">
        <v>46155</v>
      </c>
      <c r="C348" s="12" t="s">
        <v>8</v>
      </c>
      <c r="D348" s="15">
        <v>33</v>
      </c>
      <c r="E348" s="15">
        <v>32.799999999999997</v>
      </c>
      <c r="F348" s="15">
        <v>32.799999999999997</v>
      </c>
      <c r="G348" s="15">
        <v>33</v>
      </c>
      <c r="H348" s="15">
        <v>3.2</v>
      </c>
      <c r="I348" s="15">
        <v>32.9</v>
      </c>
      <c r="J348" s="15">
        <v>33</v>
      </c>
      <c r="K348" s="15">
        <v>32.700000000000003</v>
      </c>
      <c r="L348" s="15">
        <v>32.700000000000003</v>
      </c>
      <c r="M348" s="15">
        <v>32.6</v>
      </c>
      <c r="N348" s="15">
        <v>33</v>
      </c>
      <c r="O348" s="15">
        <v>32.6</v>
      </c>
      <c r="P348" s="12"/>
    </row>
    <row r="349" spans="1:16" ht="15" customHeight="1" x14ac:dyDescent="0.25">
      <c r="A349" s="233"/>
      <c r="B349" s="14">
        <v>46156</v>
      </c>
      <c r="C349" s="12" t="s">
        <v>9</v>
      </c>
      <c r="D349" s="15">
        <v>32.9</v>
      </c>
      <c r="E349" s="15">
        <v>33</v>
      </c>
      <c r="F349" s="15">
        <v>33.4</v>
      </c>
      <c r="G349" s="15">
        <v>33.700000000000003</v>
      </c>
      <c r="H349" s="15">
        <v>33.5</v>
      </c>
      <c r="I349" s="15">
        <v>33</v>
      </c>
      <c r="J349" s="15">
        <v>32.700000000000003</v>
      </c>
      <c r="K349" s="15">
        <v>32.200000000000003</v>
      </c>
      <c r="L349" s="15">
        <v>31.8</v>
      </c>
      <c r="M349" s="15">
        <v>31.5</v>
      </c>
      <c r="N349" s="15">
        <v>32</v>
      </c>
      <c r="O349" s="15">
        <v>31.6</v>
      </c>
      <c r="P349" s="12"/>
    </row>
    <row r="350" spans="1:16" ht="15" customHeight="1" x14ac:dyDescent="0.25">
      <c r="A350" s="233"/>
      <c r="B350" s="14">
        <v>46157</v>
      </c>
      <c r="C350" s="12" t="s">
        <v>10</v>
      </c>
      <c r="D350" s="15">
        <v>31.7</v>
      </c>
      <c r="E350" s="15">
        <v>32</v>
      </c>
      <c r="F350" s="15">
        <v>32.5</v>
      </c>
      <c r="G350" s="15">
        <v>32.799999999999997</v>
      </c>
      <c r="H350" s="15">
        <v>32.799999999999997</v>
      </c>
      <c r="I350" s="15">
        <v>32.5</v>
      </c>
      <c r="J350" s="15">
        <v>32.409999999999997</v>
      </c>
      <c r="K350" s="15">
        <v>31.7</v>
      </c>
      <c r="L350" s="15">
        <v>31.9</v>
      </c>
      <c r="M350" s="15">
        <v>31.7</v>
      </c>
      <c r="N350" s="15">
        <v>31.5</v>
      </c>
      <c r="O350" s="15">
        <v>31.9</v>
      </c>
      <c r="P350" s="12"/>
    </row>
    <row r="351" spans="1:16" ht="15" customHeight="1" x14ac:dyDescent="0.25">
      <c r="A351" s="233"/>
      <c r="B351" s="14">
        <v>46158</v>
      </c>
      <c r="C351" s="12" t="s">
        <v>11</v>
      </c>
      <c r="D351" s="15">
        <v>31.9</v>
      </c>
      <c r="E351" s="15">
        <v>31.6</v>
      </c>
      <c r="F351" s="15">
        <v>31.5</v>
      </c>
      <c r="G351" s="15">
        <v>31.4</v>
      </c>
      <c r="H351" s="15">
        <v>31.4</v>
      </c>
      <c r="I351" s="15">
        <v>31.3</v>
      </c>
      <c r="J351" s="15">
        <v>31.1</v>
      </c>
      <c r="K351" s="15">
        <v>30.6</v>
      </c>
      <c r="L351" s="15">
        <v>30.2</v>
      </c>
      <c r="M351" s="15">
        <v>30.9</v>
      </c>
      <c r="N351" s="15">
        <v>30.7</v>
      </c>
      <c r="O351" s="15">
        <v>30.6</v>
      </c>
      <c r="P351" s="12"/>
    </row>
    <row r="352" spans="1:16" ht="15" customHeight="1" x14ac:dyDescent="0.25">
      <c r="A352" s="233"/>
      <c r="B352" s="14">
        <v>46159</v>
      </c>
      <c r="C352" s="12" t="s">
        <v>12</v>
      </c>
      <c r="D352" s="15">
        <v>31</v>
      </c>
      <c r="E352" s="15">
        <v>30.9</v>
      </c>
      <c r="F352" s="15">
        <v>31.4</v>
      </c>
      <c r="G352" s="15">
        <v>31.9</v>
      </c>
      <c r="H352" s="15">
        <v>32.200000000000003</v>
      </c>
      <c r="I352" s="15">
        <v>32.200000000000003</v>
      </c>
      <c r="J352" s="15">
        <v>31.8</v>
      </c>
      <c r="K352" s="15">
        <v>31.5</v>
      </c>
      <c r="L352" s="15">
        <v>31.2</v>
      </c>
      <c r="M352" s="15">
        <v>30.8</v>
      </c>
      <c r="N352" s="15">
        <v>30.5</v>
      </c>
      <c r="O352" s="15">
        <v>30.4</v>
      </c>
      <c r="P352" s="12"/>
    </row>
    <row r="353" spans="1:16" ht="15" customHeight="1" x14ac:dyDescent="0.25">
      <c r="A353" s="233"/>
      <c r="B353" s="14">
        <v>46160</v>
      </c>
      <c r="C353" s="12" t="s">
        <v>13</v>
      </c>
      <c r="D353" s="15">
        <v>30.3</v>
      </c>
      <c r="E353" s="15">
        <v>30.6</v>
      </c>
      <c r="F353" s="15">
        <v>31.6</v>
      </c>
      <c r="G353" s="15">
        <v>32.299999999999997</v>
      </c>
      <c r="H353" s="15">
        <v>32.5</v>
      </c>
      <c r="I353" s="15">
        <v>32.4</v>
      </c>
      <c r="J353" s="15">
        <v>32.1</v>
      </c>
      <c r="K353" s="15">
        <v>31.6</v>
      </c>
      <c r="L353" s="15">
        <v>31.3</v>
      </c>
      <c r="M353" s="15">
        <v>31</v>
      </c>
      <c r="N353" s="15">
        <v>30.7</v>
      </c>
      <c r="O353" s="15">
        <v>30.3</v>
      </c>
      <c r="P353" s="12"/>
    </row>
    <row r="354" spans="1:16" ht="15" customHeight="1" x14ac:dyDescent="0.25">
      <c r="A354" s="233"/>
      <c r="B354" s="14">
        <v>46161</v>
      </c>
      <c r="C354" s="12" t="s">
        <v>14</v>
      </c>
      <c r="D354" s="15">
        <v>30.1</v>
      </c>
      <c r="E354" s="15">
        <v>30.3</v>
      </c>
      <c r="F354" s="15">
        <v>31.2</v>
      </c>
      <c r="G354" s="15">
        <v>32.200000000000003</v>
      </c>
      <c r="H354" s="15">
        <v>32.4</v>
      </c>
      <c r="I354" s="15">
        <v>32.200000000000003</v>
      </c>
      <c r="J354" s="15">
        <v>32</v>
      </c>
      <c r="K354" s="15">
        <v>31.7</v>
      </c>
      <c r="L354" s="15">
        <v>31.4</v>
      </c>
      <c r="M354" s="15">
        <v>31.3</v>
      </c>
      <c r="N354" s="15">
        <v>30.9</v>
      </c>
      <c r="O354" s="15">
        <v>30.6</v>
      </c>
      <c r="P354" s="12"/>
    </row>
    <row r="355" spans="1:16" ht="15" customHeight="1" x14ac:dyDescent="0.25">
      <c r="A355" s="233"/>
      <c r="B355" s="14">
        <v>46162</v>
      </c>
      <c r="C355" s="12" t="s">
        <v>15</v>
      </c>
      <c r="D355" s="15">
        <v>30.5</v>
      </c>
      <c r="E355" s="15">
        <v>30.5</v>
      </c>
      <c r="F355" s="15">
        <v>30.8</v>
      </c>
      <c r="G355" s="15">
        <v>31.4</v>
      </c>
      <c r="H355" s="15">
        <v>31.5</v>
      </c>
      <c r="I355" s="15">
        <v>31.5</v>
      </c>
      <c r="J355" s="15">
        <v>31.4</v>
      </c>
      <c r="K355" s="15">
        <v>31.1</v>
      </c>
      <c r="L355" s="15">
        <v>30.6</v>
      </c>
      <c r="M355" s="15">
        <v>30.6</v>
      </c>
      <c r="N355" s="15">
        <v>30.4</v>
      </c>
      <c r="O355" s="15">
        <v>30</v>
      </c>
      <c r="P355" s="12"/>
    </row>
    <row r="356" spans="1:16" ht="15" customHeight="1" x14ac:dyDescent="0.25">
      <c r="A356" s="233"/>
      <c r="B356" s="14">
        <v>46163</v>
      </c>
      <c r="C356" s="12" t="s">
        <v>16</v>
      </c>
      <c r="D356" s="15">
        <v>30</v>
      </c>
      <c r="E356" s="15">
        <v>30.3</v>
      </c>
      <c r="F356" s="15">
        <v>30.6</v>
      </c>
      <c r="G356" s="15">
        <v>31.2</v>
      </c>
      <c r="H356" s="15">
        <v>31.2</v>
      </c>
      <c r="I356" s="15">
        <v>31.1</v>
      </c>
      <c r="J356" s="15">
        <v>31</v>
      </c>
      <c r="K356" s="15">
        <v>30.8</v>
      </c>
      <c r="L356" s="15">
        <v>30.6</v>
      </c>
      <c r="M356" s="15">
        <v>30.4</v>
      </c>
      <c r="N356" s="15">
        <v>30.2</v>
      </c>
      <c r="O356" s="15">
        <v>30</v>
      </c>
      <c r="P356" s="16"/>
    </row>
    <row r="357" spans="1:16" ht="15" customHeight="1" x14ac:dyDescent="0.25">
      <c r="A357" s="233"/>
      <c r="B357" s="14">
        <v>46164</v>
      </c>
      <c r="C357" s="12" t="s">
        <v>17</v>
      </c>
      <c r="D357" s="15">
        <v>29.9</v>
      </c>
      <c r="E357" s="15">
        <v>30.1</v>
      </c>
      <c r="F357" s="15">
        <v>30.8</v>
      </c>
      <c r="G357" s="15">
        <v>31.3</v>
      </c>
      <c r="H357" s="15">
        <v>31.3</v>
      </c>
      <c r="I357" s="15">
        <v>31.3</v>
      </c>
      <c r="J357" s="15">
        <v>31.2</v>
      </c>
      <c r="K357" s="15">
        <v>30.9</v>
      </c>
      <c r="L357" s="15">
        <v>30.7</v>
      </c>
      <c r="M357" s="15">
        <v>30.4</v>
      </c>
      <c r="N357" s="15">
        <v>30.1</v>
      </c>
      <c r="O357" s="15">
        <v>29.9</v>
      </c>
      <c r="P357" s="16"/>
    </row>
    <row r="358" spans="1:16" ht="15" customHeight="1" x14ac:dyDescent="0.25">
      <c r="A358" s="233"/>
      <c r="B358" s="14">
        <v>46165</v>
      </c>
      <c r="C358" s="17" t="s">
        <v>18</v>
      </c>
      <c r="D358" s="15">
        <v>29.7</v>
      </c>
      <c r="E358" s="15">
        <v>30.1</v>
      </c>
      <c r="F358" s="15">
        <v>30.8</v>
      </c>
      <c r="G358" s="15">
        <v>31.1</v>
      </c>
      <c r="H358" s="15">
        <v>31.3</v>
      </c>
      <c r="I358" s="15">
        <v>31.3</v>
      </c>
      <c r="J358" s="15">
        <v>31</v>
      </c>
      <c r="K358" s="15">
        <v>30.8</v>
      </c>
      <c r="L358" s="15">
        <v>30.5</v>
      </c>
      <c r="M358" s="15">
        <v>30</v>
      </c>
      <c r="N358" s="15">
        <v>30.1</v>
      </c>
      <c r="O358" s="15">
        <v>30</v>
      </c>
      <c r="P358" s="16"/>
    </row>
    <row r="359" spans="1:16" ht="15" customHeight="1" x14ac:dyDescent="0.25">
      <c r="A359" s="233"/>
      <c r="B359" s="14">
        <v>46166</v>
      </c>
      <c r="C359" s="17" t="s">
        <v>19</v>
      </c>
      <c r="D359" s="15">
        <v>29.9</v>
      </c>
      <c r="E359" s="15">
        <v>29.8</v>
      </c>
      <c r="F359" s="15">
        <v>30</v>
      </c>
      <c r="G359" s="15">
        <v>30.5</v>
      </c>
      <c r="H359" s="15">
        <v>30.7</v>
      </c>
      <c r="I359" s="15"/>
      <c r="J359" s="15"/>
      <c r="K359" s="15"/>
      <c r="L359" s="15"/>
      <c r="M359" s="15"/>
      <c r="N359" s="15"/>
      <c r="O359" s="15"/>
      <c r="P359" s="16"/>
    </row>
    <row r="360" spans="1:16" ht="15" customHeight="1" x14ac:dyDescent="0.25">
      <c r="A360" s="234"/>
      <c r="B360" s="14">
        <v>46167</v>
      </c>
      <c r="C360" s="17" t="s">
        <v>20</v>
      </c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6"/>
    </row>
    <row r="361" spans="1:16" ht="15" customHeight="1" x14ac:dyDescent="0.25">
      <c r="A361" s="232">
        <v>19</v>
      </c>
      <c r="B361" s="235" t="s">
        <v>0</v>
      </c>
      <c r="C361" s="235" t="s">
        <v>65</v>
      </c>
      <c r="D361" s="237" t="s">
        <v>1</v>
      </c>
      <c r="E361" s="238"/>
      <c r="F361" s="238"/>
      <c r="G361" s="238"/>
      <c r="H361" s="238"/>
      <c r="I361" s="238"/>
      <c r="J361" s="238"/>
      <c r="K361" s="238"/>
      <c r="L361" s="238"/>
      <c r="M361" s="238"/>
      <c r="N361" s="238"/>
      <c r="O361" s="239"/>
      <c r="P361" s="12" t="s">
        <v>2</v>
      </c>
    </row>
    <row r="362" spans="1:16" ht="15" customHeight="1" x14ac:dyDescent="0.25">
      <c r="A362" s="233"/>
      <c r="B362" s="236"/>
      <c r="C362" s="236"/>
      <c r="D362" s="13">
        <v>0.375</v>
      </c>
      <c r="E362" s="13">
        <v>0.45833333333333331</v>
      </c>
      <c r="F362" s="13">
        <v>0.54166666666666696</v>
      </c>
      <c r="G362" s="13">
        <v>0.625</v>
      </c>
      <c r="H362" s="13">
        <v>0.70833333333333304</v>
      </c>
      <c r="I362" s="13">
        <v>0.79166666666666696</v>
      </c>
      <c r="J362" s="13">
        <v>0.875</v>
      </c>
      <c r="K362" s="13">
        <v>0.95833333333333304</v>
      </c>
      <c r="L362" s="13">
        <v>1.0416666666666701</v>
      </c>
      <c r="M362" s="13">
        <v>1.125</v>
      </c>
      <c r="N362" s="13">
        <v>1.2083333333333299</v>
      </c>
      <c r="O362" s="13">
        <v>1.2916666666666601</v>
      </c>
      <c r="P362" s="12"/>
    </row>
    <row r="363" spans="1:16" ht="15" customHeight="1" x14ac:dyDescent="0.25">
      <c r="A363" s="233"/>
      <c r="B363" s="14">
        <v>46150</v>
      </c>
      <c r="C363" s="12" t="s">
        <v>3</v>
      </c>
      <c r="D363" s="15"/>
      <c r="E363" s="15"/>
      <c r="F363" s="15"/>
      <c r="G363" s="15"/>
      <c r="H363" s="15"/>
      <c r="I363" s="15">
        <v>33</v>
      </c>
      <c r="J363" s="15"/>
      <c r="K363" s="15">
        <v>32.700000000000003</v>
      </c>
      <c r="L363" s="15"/>
      <c r="M363" s="15">
        <v>32.799999999999997</v>
      </c>
      <c r="N363" s="15"/>
      <c r="O363" s="15">
        <v>32.5</v>
      </c>
      <c r="P363" s="16"/>
    </row>
    <row r="364" spans="1:16" ht="15" customHeight="1" x14ac:dyDescent="0.25">
      <c r="A364" s="233"/>
      <c r="B364" s="14">
        <v>46151</v>
      </c>
      <c r="C364" s="12" t="s">
        <v>4</v>
      </c>
      <c r="D364" s="15"/>
      <c r="E364" s="15">
        <v>34</v>
      </c>
      <c r="F364" s="15"/>
      <c r="G364" s="15">
        <v>34.299999999999997</v>
      </c>
      <c r="H364" s="15"/>
      <c r="I364" s="15">
        <v>33.5</v>
      </c>
      <c r="J364" s="15"/>
      <c r="K364" s="15">
        <v>33.6</v>
      </c>
      <c r="L364" s="15"/>
      <c r="M364" s="15">
        <v>33.6</v>
      </c>
      <c r="N364" s="15"/>
      <c r="O364" s="15">
        <v>33.9</v>
      </c>
      <c r="P364" s="12"/>
    </row>
    <row r="365" spans="1:16" ht="15" customHeight="1" x14ac:dyDescent="0.25">
      <c r="A365" s="233"/>
      <c r="B365" s="14">
        <v>46152</v>
      </c>
      <c r="C365" s="12" t="s">
        <v>5</v>
      </c>
      <c r="D365" s="15">
        <v>34</v>
      </c>
      <c r="E365" s="15">
        <v>34</v>
      </c>
      <c r="F365" s="15">
        <v>34</v>
      </c>
      <c r="G365" s="15">
        <v>34.1</v>
      </c>
      <c r="H365" s="15">
        <v>33.799999999999997</v>
      </c>
      <c r="I365" s="15">
        <v>33.700000000000003</v>
      </c>
      <c r="J365" s="15">
        <v>33.6</v>
      </c>
      <c r="K365" s="15">
        <v>34</v>
      </c>
      <c r="L365" s="15">
        <v>33.700000000000003</v>
      </c>
      <c r="M365" s="15">
        <v>33.6</v>
      </c>
      <c r="N365" s="15">
        <v>33.799999999999997</v>
      </c>
      <c r="O365" s="15">
        <v>33.5</v>
      </c>
      <c r="P365" s="12"/>
    </row>
    <row r="366" spans="1:16" ht="15" customHeight="1" x14ac:dyDescent="0.25">
      <c r="A366" s="233"/>
      <c r="B366" s="14">
        <v>46153</v>
      </c>
      <c r="C366" s="12" t="s">
        <v>6</v>
      </c>
      <c r="D366" s="15">
        <v>33.799999999999997</v>
      </c>
      <c r="E366" s="15">
        <v>34</v>
      </c>
      <c r="F366" s="15">
        <v>34.200000000000003</v>
      </c>
      <c r="G366" s="15">
        <v>34.299999999999997</v>
      </c>
      <c r="H366" s="15">
        <v>34.6</v>
      </c>
      <c r="I366" s="15">
        <v>34.200000000000003</v>
      </c>
      <c r="J366" s="15">
        <v>33.9</v>
      </c>
      <c r="K366" s="15">
        <v>33.6</v>
      </c>
      <c r="L366" s="15">
        <v>33.9</v>
      </c>
      <c r="M366" s="15">
        <v>33.6</v>
      </c>
      <c r="N366" s="15">
        <v>33.9</v>
      </c>
      <c r="O366" s="15">
        <v>33.6</v>
      </c>
      <c r="P366" s="12"/>
    </row>
    <row r="367" spans="1:16" ht="15" customHeight="1" x14ac:dyDescent="0.25">
      <c r="A367" s="233"/>
      <c r="B367" s="14">
        <v>46154</v>
      </c>
      <c r="C367" s="12" t="s">
        <v>7</v>
      </c>
      <c r="D367" s="15">
        <v>34</v>
      </c>
      <c r="E367" s="15">
        <v>33.9</v>
      </c>
      <c r="F367" s="15">
        <v>33.9</v>
      </c>
      <c r="G367" s="15">
        <v>34.1</v>
      </c>
      <c r="H367" s="15">
        <v>34.1</v>
      </c>
      <c r="I367" s="15">
        <v>33.799999999999997</v>
      </c>
      <c r="J367" s="15">
        <v>33.4</v>
      </c>
      <c r="K367" s="15">
        <v>33</v>
      </c>
      <c r="L367" s="15">
        <v>32.6</v>
      </c>
      <c r="M367" s="15">
        <v>32.9</v>
      </c>
      <c r="N367" s="15">
        <v>32.6</v>
      </c>
      <c r="O367" s="15">
        <v>33</v>
      </c>
      <c r="P367" s="12"/>
    </row>
    <row r="368" spans="1:16" ht="15" customHeight="1" x14ac:dyDescent="0.25">
      <c r="A368" s="233"/>
      <c r="B368" s="14">
        <v>46155</v>
      </c>
      <c r="C368" s="12" t="s">
        <v>8</v>
      </c>
      <c r="D368" s="15">
        <v>32.799999999999997</v>
      </c>
      <c r="E368" s="15">
        <v>32.799999999999997</v>
      </c>
      <c r="F368" s="15">
        <v>32.799999999999997</v>
      </c>
      <c r="G368" s="15">
        <v>32.9</v>
      </c>
      <c r="H368" s="15">
        <v>32.9</v>
      </c>
      <c r="I368" s="15">
        <v>32.700000000000003</v>
      </c>
      <c r="J368" s="15">
        <v>33</v>
      </c>
      <c r="K368" s="15">
        <v>32.700000000000003</v>
      </c>
      <c r="L368" s="15">
        <v>32.9</v>
      </c>
      <c r="M368" s="15">
        <v>32.700000000000003</v>
      </c>
      <c r="N368" s="15">
        <v>32.799999999999997</v>
      </c>
      <c r="O368" s="15">
        <v>32.9</v>
      </c>
      <c r="P368" s="12"/>
    </row>
    <row r="369" spans="1:16" ht="15" customHeight="1" x14ac:dyDescent="0.25">
      <c r="A369" s="233"/>
      <c r="B369" s="14">
        <v>46156</v>
      </c>
      <c r="C369" s="12" t="s">
        <v>9</v>
      </c>
      <c r="D369" s="15">
        <v>32.700000000000003</v>
      </c>
      <c r="E369" s="15">
        <v>32.700000000000003</v>
      </c>
      <c r="F369" s="15">
        <v>33</v>
      </c>
      <c r="G369" s="15">
        <v>33.200000000000003</v>
      </c>
      <c r="H369" s="15">
        <v>33.200000000000003</v>
      </c>
      <c r="I369" s="15">
        <v>32.799999999999997</v>
      </c>
      <c r="J369" s="15">
        <v>32.5</v>
      </c>
      <c r="K369" s="15">
        <v>32.1</v>
      </c>
      <c r="L369" s="15">
        <v>31.6</v>
      </c>
      <c r="M369" s="15">
        <v>31.9</v>
      </c>
      <c r="N369" s="15">
        <v>31.5</v>
      </c>
      <c r="O369" s="15">
        <v>31.8</v>
      </c>
      <c r="P369" s="12"/>
    </row>
    <row r="370" spans="1:16" ht="15" customHeight="1" x14ac:dyDescent="0.25">
      <c r="A370" s="233"/>
      <c r="B370" s="14">
        <v>46157</v>
      </c>
      <c r="C370" s="12" t="s">
        <v>10</v>
      </c>
      <c r="D370" s="15">
        <v>31.5</v>
      </c>
      <c r="E370" s="15">
        <v>32</v>
      </c>
      <c r="F370" s="15">
        <v>32.4</v>
      </c>
      <c r="G370" s="15">
        <v>32.799999999999997</v>
      </c>
      <c r="H370" s="15">
        <v>32.799999999999997</v>
      </c>
      <c r="I370" s="15">
        <v>32.4</v>
      </c>
      <c r="J370" s="15">
        <v>31.9</v>
      </c>
      <c r="K370" s="15">
        <v>31.6</v>
      </c>
      <c r="L370" s="15">
        <v>31.9</v>
      </c>
      <c r="M370" s="15">
        <v>32</v>
      </c>
      <c r="N370" s="15">
        <v>31.6</v>
      </c>
      <c r="O370" s="15">
        <v>32</v>
      </c>
      <c r="P370" s="12"/>
    </row>
    <row r="371" spans="1:16" ht="15" customHeight="1" x14ac:dyDescent="0.25">
      <c r="A371" s="233"/>
      <c r="B371" s="14">
        <v>46158</v>
      </c>
      <c r="C371" s="12" t="s">
        <v>11</v>
      </c>
      <c r="D371" s="15">
        <v>31.7</v>
      </c>
      <c r="E371" s="15">
        <v>32</v>
      </c>
      <c r="F371" s="15">
        <v>31.8</v>
      </c>
      <c r="G371" s="15">
        <v>31.7</v>
      </c>
      <c r="H371" s="15">
        <v>31.6</v>
      </c>
      <c r="I371" s="15">
        <v>31.4</v>
      </c>
      <c r="J371" s="15">
        <v>31.1</v>
      </c>
      <c r="K371" s="15">
        <v>30.7</v>
      </c>
      <c r="L371" s="15">
        <v>360.9</v>
      </c>
      <c r="M371" s="15">
        <v>30.5</v>
      </c>
      <c r="N371" s="15">
        <v>30.9</v>
      </c>
      <c r="O371" s="15">
        <v>30.6</v>
      </c>
      <c r="P371" s="12"/>
    </row>
    <row r="372" spans="1:16" ht="15" customHeight="1" x14ac:dyDescent="0.25">
      <c r="A372" s="233"/>
      <c r="B372" s="14">
        <v>46159</v>
      </c>
      <c r="C372" s="12" t="s">
        <v>12</v>
      </c>
      <c r="D372" s="15">
        <v>30.9</v>
      </c>
      <c r="E372" s="15">
        <v>30.8</v>
      </c>
      <c r="F372" s="15">
        <v>31.2</v>
      </c>
      <c r="G372" s="15">
        <v>31.8</v>
      </c>
      <c r="H372" s="15">
        <v>32.299999999999997</v>
      </c>
      <c r="I372" s="15">
        <v>32.200000000000003</v>
      </c>
      <c r="J372" s="15">
        <v>31.9</v>
      </c>
      <c r="K372" s="15">
        <v>31.5</v>
      </c>
      <c r="L372" s="15">
        <v>31.1</v>
      </c>
      <c r="M372" s="15">
        <v>30.9</v>
      </c>
      <c r="N372" s="15">
        <v>30.6</v>
      </c>
      <c r="O372" s="15">
        <v>30.5</v>
      </c>
      <c r="P372" s="12"/>
    </row>
    <row r="373" spans="1:16" ht="15" customHeight="1" x14ac:dyDescent="0.25">
      <c r="A373" s="233"/>
      <c r="B373" s="14">
        <v>46160</v>
      </c>
      <c r="C373" s="12" t="s">
        <v>13</v>
      </c>
      <c r="D373" s="15">
        <v>30.4</v>
      </c>
      <c r="E373" s="15">
        <v>30.7</v>
      </c>
      <c r="F373" s="15">
        <v>31.5</v>
      </c>
      <c r="G373" s="15">
        <v>32.4</v>
      </c>
      <c r="H373" s="15">
        <v>32.6</v>
      </c>
      <c r="I373" s="15">
        <v>32.4</v>
      </c>
      <c r="J373" s="15">
        <v>32.1</v>
      </c>
      <c r="K373" s="15">
        <v>31.7</v>
      </c>
      <c r="L373" s="15">
        <v>31.5</v>
      </c>
      <c r="M373" s="15">
        <v>31.1</v>
      </c>
      <c r="N373" s="15">
        <v>30.7</v>
      </c>
      <c r="O373" s="15">
        <v>30.4</v>
      </c>
      <c r="P373" s="12"/>
    </row>
    <row r="374" spans="1:16" ht="15" customHeight="1" x14ac:dyDescent="0.25">
      <c r="A374" s="233"/>
      <c r="B374" s="14">
        <v>46161</v>
      </c>
      <c r="C374" s="12" t="s">
        <v>14</v>
      </c>
      <c r="D374" s="15">
        <v>30</v>
      </c>
      <c r="E374" s="15">
        <v>30.3</v>
      </c>
      <c r="F374" s="15">
        <v>31.3</v>
      </c>
      <c r="G374" s="15">
        <v>32.1</v>
      </c>
      <c r="H374" s="15">
        <v>32.4</v>
      </c>
      <c r="I374" s="15">
        <v>32.299999999999997</v>
      </c>
      <c r="J374" s="15">
        <v>323</v>
      </c>
      <c r="K374" s="15">
        <v>1.6</v>
      </c>
      <c r="L374" s="15">
        <v>31.3</v>
      </c>
      <c r="M374" s="15">
        <v>31.3</v>
      </c>
      <c r="N374" s="15">
        <v>30.8</v>
      </c>
      <c r="O374" s="15">
        <v>30.6</v>
      </c>
      <c r="P374" s="12"/>
    </row>
    <row r="375" spans="1:16" ht="15" customHeight="1" x14ac:dyDescent="0.25">
      <c r="A375" s="233"/>
      <c r="B375" s="14">
        <v>46162</v>
      </c>
      <c r="C375" s="12" t="s">
        <v>15</v>
      </c>
      <c r="D375" s="15">
        <v>30.5</v>
      </c>
      <c r="E375" s="15">
        <v>30.5</v>
      </c>
      <c r="F375" s="15">
        <v>30.8</v>
      </c>
      <c r="G375" s="15">
        <v>31.3</v>
      </c>
      <c r="H375" s="15">
        <v>31.5</v>
      </c>
      <c r="I375" s="15">
        <v>31.5</v>
      </c>
      <c r="J375" s="15">
        <v>31.3</v>
      </c>
      <c r="K375" s="15">
        <v>31</v>
      </c>
      <c r="L375" s="15">
        <v>30.5</v>
      </c>
      <c r="M375" s="15">
        <v>30.5</v>
      </c>
      <c r="N375" s="15">
        <v>30.2</v>
      </c>
      <c r="O375" s="15">
        <v>29.9</v>
      </c>
      <c r="P375" s="12"/>
    </row>
    <row r="376" spans="1:16" ht="15" customHeight="1" x14ac:dyDescent="0.25">
      <c r="A376" s="233"/>
      <c r="B376" s="14">
        <v>46163</v>
      </c>
      <c r="C376" s="12" t="s">
        <v>16</v>
      </c>
      <c r="D376" s="15">
        <v>30</v>
      </c>
      <c r="E376" s="15">
        <v>30.2</v>
      </c>
      <c r="F376" s="15">
        <v>30.5</v>
      </c>
      <c r="G376" s="15">
        <v>30.9</v>
      </c>
      <c r="H376" s="15">
        <v>31</v>
      </c>
      <c r="I376" s="15">
        <v>31</v>
      </c>
      <c r="J376" s="15">
        <v>30.8</v>
      </c>
      <c r="K376" s="15">
        <v>30.7</v>
      </c>
      <c r="L376" s="15">
        <v>30.4</v>
      </c>
      <c r="M376" s="15">
        <v>30.3</v>
      </c>
      <c r="N376" s="15">
        <v>30.1</v>
      </c>
      <c r="O376" s="15">
        <v>29.9</v>
      </c>
      <c r="P376" s="16"/>
    </row>
    <row r="377" spans="1:16" ht="15" customHeight="1" x14ac:dyDescent="0.25">
      <c r="A377" s="233"/>
      <c r="B377" s="14">
        <v>46164</v>
      </c>
      <c r="C377" s="12" t="s">
        <v>17</v>
      </c>
      <c r="D377" s="15">
        <v>29.8</v>
      </c>
      <c r="E377" s="15">
        <v>30</v>
      </c>
      <c r="F377" s="15">
        <v>30.7</v>
      </c>
      <c r="G377" s="15">
        <v>31.1</v>
      </c>
      <c r="H377" s="15">
        <v>31.2</v>
      </c>
      <c r="I377" s="15">
        <v>31.2</v>
      </c>
      <c r="J377" s="15">
        <v>31.1</v>
      </c>
      <c r="K377" s="15">
        <v>30.8</v>
      </c>
      <c r="L377" s="15">
        <v>30.6</v>
      </c>
      <c r="M377" s="15">
        <v>30.3</v>
      </c>
      <c r="N377" s="15">
        <v>30.1</v>
      </c>
      <c r="O377" s="15">
        <v>29.8</v>
      </c>
      <c r="P377" s="16"/>
    </row>
    <row r="378" spans="1:16" ht="15" customHeight="1" x14ac:dyDescent="0.25">
      <c r="A378" s="233"/>
      <c r="B378" s="14">
        <v>46165</v>
      </c>
      <c r="C378" s="17" t="s">
        <v>18</v>
      </c>
      <c r="D378" s="15">
        <v>30</v>
      </c>
      <c r="E378" s="15">
        <v>30.3</v>
      </c>
      <c r="F378" s="15">
        <v>31</v>
      </c>
      <c r="G378" s="15">
        <v>31.2</v>
      </c>
      <c r="H378" s="15">
        <v>31.4</v>
      </c>
      <c r="I378" s="15">
        <v>31.4</v>
      </c>
      <c r="J378" s="15">
        <v>31.1</v>
      </c>
      <c r="K378" s="15">
        <v>30.7</v>
      </c>
      <c r="L378" s="15">
        <v>30.5</v>
      </c>
      <c r="M378" s="15">
        <v>30.2</v>
      </c>
      <c r="N378" s="15">
        <v>30.2</v>
      </c>
      <c r="O378" s="15">
        <v>29.9</v>
      </c>
      <c r="P378" s="16"/>
    </row>
    <row r="379" spans="1:16" ht="15" customHeight="1" x14ac:dyDescent="0.25">
      <c r="A379" s="233"/>
      <c r="B379" s="14">
        <v>46166</v>
      </c>
      <c r="C379" s="17" t="s">
        <v>19</v>
      </c>
      <c r="D379" s="15">
        <v>29.7</v>
      </c>
      <c r="E379" s="15">
        <v>29.7</v>
      </c>
      <c r="F379" s="15">
        <v>30</v>
      </c>
      <c r="G379" s="15">
        <v>30.4</v>
      </c>
      <c r="H379" s="15">
        <v>30.7</v>
      </c>
      <c r="I379" s="15"/>
      <c r="J379" s="15"/>
      <c r="K379" s="15"/>
      <c r="L379" s="15"/>
      <c r="M379" s="15"/>
      <c r="N379" s="15"/>
      <c r="O379" s="15"/>
      <c r="P379" s="16"/>
    </row>
    <row r="380" spans="1:16" ht="15" customHeight="1" x14ac:dyDescent="0.25">
      <c r="A380" s="234"/>
      <c r="B380" s="14">
        <v>46167</v>
      </c>
      <c r="C380" s="17" t="s">
        <v>20</v>
      </c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6"/>
    </row>
    <row r="381" spans="1:16" ht="15" customHeight="1" x14ac:dyDescent="0.25">
      <c r="A381" s="232">
        <v>20</v>
      </c>
      <c r="B381" s="235" t="s">
        <v>0</v>
      </c>
      <c r="C381" s="235" t="s">
        <v>65</v>
      </c>
      <c r="D381" s="237" t="s">
        <v>1</v>
      </c>
      <c r="E381" s="238"/>
      <c r="F381" s="238"/>
      <c r="G381" s="238"/>
      <c r="H381" s="238"/>
      <c r="I381" s="238"/>
      <c r="J381" s="238"/>
      <c r="K381" s="238"/>
      <c r="L381" s="238"/>
      <c r="M381" s="238"/>
      <c r="N381" s="238"/>
      <c r="O381" s="239"/>
      <c r="P381" s="12" t="s">
        <v>2</v>
      </c>
    </row>
    <row r="382" spans="1:16" ht="15" customHeight="1" x14ac:dyDescent="0.25">
      <c r="A382" s="233"/>
      <c r="B382" s="236"/>
      <c r="C382" s="236"/>
      <c r="D382" s="13">
        <v>0.375</v>
      </c>
      <c r="E382" s="13">
        <v>0.45833333333333331</v>
      </c>
      <c r="F382" s="13">
        <v>0.54166666666666696</v>
      </c>
      <c r="G382" s="13">
        <v>0.625</v>
      </c>
      <c r="H382" s="13">
        <v>0.70833333333333304</v>
      </c>
      <c r="I382" s="13">
        <v>0.79166666666666696</v>
      </c>
      <c r="J382" s="13">
        <v>0.875</v>
      </c>
      <c r="K382" s="13">
        <v>0.95833333333333304</v>
      </c>
      <c r="L382" s="13">
        <v>1.0416666666666701</v>
      </c>
      <c r="M382" s="13">
        <v>1.125</v>
      </c>
      <c r="N382" s="13">
        <v>1.2083333333333299</v>
      </c>
      <c r="O382" s="13">
        <v>1.2916666666666601</v>
      </c>
      <c r="P382" s="12"/>
    </row>
    <row r="383" spans="1:16" ht="15" customHeight="1" x14ac:dyDescent="0.25">
      <c r="A383" s="233"/>
      <c r="B383" s="14">
        <v>46150</v>
      </c>
      <c r="C383" s="12" t="s">
        <v>3</v>
      </c>
      <c r="D383" s="15"/>
      <c r="E383" s="15"/>
      <c r="F383" s="15"/>
      <c r="G383" s="15"/>
      <c r="H383" s="15"/>
      <c r="I383" s="15">
        <v>34</v>
      </c>
      <c r="J383" s="15"/>
      <c r="K383" s="15">
        <v>33</v>
      </c>
      <c r="L383" s="15"/>
      <c r="M383" s="15">
        <v>33</v>
      </c>
      <c r="N383" s="15"/>
      <c r="O383" s="15">
        <v>33</v>
      </c>
      <c r="P383" s="16"/>
    </row>
    <row r="384" spans="1:16" ht="15" customHeight="1" x14ac:dyDescent="0.25">
      <c r="A384" s="233"/>
      <c r="B384" s="14">
        <v>46151</v>
      </c>
      <c r="C384" s="12" t="s">
        <v>4</v>
      </c>
      <c r="D384" s="15"/>
      <c r="E384" s="15">
        <v>34</v>
      </c>
      <c r="F384" s="15"/>
      <c r="G384" s="15">
        <v>34</v>
      </c>
      <c r="H384" s="15"/>
      <c r="I384" s="15">
        <v>33.700000000000003</v>
      </c>
      <c r="J384" s="15"/>
      <c r="K384" s="15">
        <v>33.700000000000003</v>
      </c>
      <c r="L384" s="15"/>
      <c r="M384" s="15">
        <v>33.9</v>
      </c>
      <c r="N384" s="15"/>
      <c r="O384" s="15">
        <v>33.700000000000003</v>
      </c>
      <c r="P384" s="12"/>
    </row>
    <row r="385" spans="1:16" ht="15" customHeight="1" x14ac:dyDescent="0.25">
      <c r="A385" s="233"/>
      <c r="B385" s="14">
        <v>46152</v>
      </c>
      <c r="C385" s="12" t="s">
        <v>5</v>
      </c>
      <c r="D385" s="15">
        <v>34</v>
      </c>
      <c r="E385" s="15">
        <v>33.9</v>
      </c>
      <c r="F385" s="15">
        <v>33.9</v>
      </c>
      <c r="G385" s="15">
        <v>34</v>
      </c>
      <c r="H385" s="15">
        <v>34</v>
      </c>
      <c r="I385" s="15">
        <v>33.700000000000003</v>
      </c>
      <c r="J385" s="15">
        <v>33.6</v>
      </c>
      <c r="K385" s="15">
        <v>34</v>
      </c>
      <c r="L385" s="15">
        <v>33.700000000000003</v>
      </c>
      <c r="M385" s="15">
        <v>34</v>
      </c>
      <c r="N385" s="15">
        <v>33.700000000000003</v>
      </c>
      <c r="O385" s="15">
        <v>34</v>
      </c>
      <c r="P385" s="12"/>
    </row>
    <row r="386" spans="1:16" ht="15" customHeight="1" x14ac:dyDescent="0.25">
      <c r="A386" s="233"/>
      <c r="B386" s="14">
        <v>46153</v>
      </c>
      <c r="C386" s="12" t="s">
        <v>6</v>
      </c>
      <c r="D386" s="15">
        <v>33.5</v>
      </c>
      <c r="E386" s="15">
        <v>34</v>
      </c>
      <c r="F386" s="15">
        <v>34</v>
      </c>
      <c r="G386" s="15">
        <v>34.5</v>
      </c>
      <c r="H386" s="15">
        <v>34.5</v>
      </c>
      <c r="I386" s="15">
        <v>34.1</v>
      </c>
      <c r="J386" s="15">
        <v>33.799999999999997</v>
      </c>
      <c r="K386" s="15">
        <v>34</v>
      </c>
      <c r="L386" s="15">
        <v>33.5</v>
      </c>
      <c r="M386" s="15">
        <v>32.799999999999997</v>
      </c>
      <c r="N386" s="15">
        <v>34</v>
      </c>
      <c r="O386" s="15">
        <v>33.700000000000003</v>
      </c>
      <c r="P386" s="12"/>
    </row>
    <row r="387" spans="1:16" ht="15" customHeight="1" x14ac:dyDescent="0.25">
      <c r="A387" s="233"/>
      <c r="B387" s="14">
        <v>46154</v>
      </c>
      <c r="C387" s="12" t="s">
        <v>7</v>
      </c>
      <c r="D387" s="15">
        <v>34</v>
      </c>
      <c r="E387" s="15">
        <v>34</v>
      </c>
      <c r="F387" s="15">
        <v>34</v>
      </c>
      <c r="G387" s="15">
        <v>34</v>
      </c>
      <c r="H387" s="15">
        <v>34.299999999999997</v>
      </c>
      <c r="I387" s="15">
        <v>34</v>
      </c>
      <c r="J387" s="15">
        <v>33.6</v>
      </c>
      <c r="K387" s="15">
        <v>33.299999999999997</v>
      </c>
      <c r="L387" s="15">
        <v>32.700000000000003</v>
      </c>
      <c r="M387" s="15">
        <v>32.5</v>
      </c>
      <c r="N387" s="15">
        <v>33</v>
      </c>
      <c r="O387" s="15">
        <v>32.6</v>
      </c>
      <c r="P387" s="12"/>
    </row>
    <row r="388" spans="1:16" ht="15" customHeight="1" x14ac:dyDescent="0.25">
      <c r="A388" s="233"/>
      <c r="B388" s="14">
        <v>46155</v>
      </c>
      <c r="C388" s="12" t="s">
        <v>8</v>
      </c>
      <c r="D388" s="15">
        <v>33</v>
      </c>
      <c r="E388" s="15">
        <v>33</v>
      </c>
      <c r="F388" s="15">
        <v>33.200000000000003</v>
      </c>
      <c r="G388" s="15">
        <v>33.200000000000003</v>
      </c>
      <c r="H388" s="15">
        <v>33.200000000000003</v>
      </c>
      <c r="I388" s="15">
        <v>33</v>
      </c>
      <c r="J388" s="15">
        <v>32.5</v>
      </c>
      <c r="K388" s="15">
        <v>32.9</v>
      </c>
      <c r="L388" s="15">
        <v>33</v>
      </c>
      <c r="M388" s="15">
        <v>32.5</v>
      </c>
      <c r="N388" s="15">
        <v>32.9</v>
      </c>
      <c r="O388" s="15">
        <v>33</v>
      </c>
      <c r="P388" s="12"/>
    </row>
    <row r="389" spans="1:16" ht="15" customHeight="1" x14ac:dyDescent="0.25">
      <c r="A389" s="233"/>
      <c r="B389" s="14">
        <v>46156</v>
      </c>
      <c r="C389" s="12" t="s">
        <v>9</v>
      </c>
      <c r="D389" s="15">
        <v>32.700000000000003</v>
      </c>
      <c r="E389" s="15">
        <v>33</v>
      </c>
      <c r="F389" s="15">
        <v>33.200000000000003</v>
      </c>
      <c r="G389" s="15">
        <v>33.299999999999997</v>
      </c>
      <c r="H389" s="15">
        <v>33.200000000000003</v>
      </c>
      <c r="I389" s="15">
        <v>32.799999999999997</v>
      </c>
      <c r="J389" s="15">
        <v>32.299999999999997</v>
      </c>
      <c r="K389" s="15">
        <v>31.9</v>
      </c>
      <c r="L389" s="15">
        <v>32</v>
      </c>
      <c r="M389" s="15">
        <v>31.7</v>
      </c>
      <c r="N389" s="15">
        <v>31.9</v>
      </c>
      <c r="O389" s="15">
        <v>31.6</v>
      </c>
      <c r="P389" s="12"/>
    </row>
    <row r="390" spans="1:16" ht="15" customHeight="1" x14ac:dyDescent="0.25">
      <c r="A390" s="233"/>
      <c r="B390" s="14">
        <v>46157</v>
      </c>
      <c r="C390" s="12" t="s">
        <v>10</v>
      </c>
      <c r="D390" s="15">
        <v>31.9</v>
      </c>
      <c r="E390" s="15">
        <v>31.7</v>
      </c>
      <c r="F390" s="15">
        <v>31.8</v>
      </c>
      <c r="G390" s="15">
        <v>31.7</v>
      </c>
      <c r="H390" s="15">
        <v>32</v>
      </c>
      <c r="I390" s="15">
        <v>31.7</v>
      </c>
      <c r="J390" s="15">
        <v>32</v>
      </c>
      <c r="K390" s="15">
        <v>31.6</v>
      </c>
      <c r="L390" s="15">
        <v>31.7</v>
      </c>
      <c r="M390" s="15">
        <v>32</v>
      </c>
      <c r="N390" s="15">
        <v>31.9</v>
      </c>
      <c r="O390" s="15">
        <v>31.9</v>
      </c>
      <c r="P390" s="12"/>
    </row>
    <row r="391" spans="1:16" ht="15" customHeight="1" x14ac:dyDescent="0.25">
      <c r="A391" s="233"/>
      <c r="B391" s="14">
        <v>46158</v>
      </c>
      <c r="C391" s="12" t="s">
        <v>11</v>
      </c>
      <c r="D391" s="15">
        <v>31.6</v>
      </c>
      <c r="E391" s="15">
        <v>32</v>
      </c>
      <c r="F391" s="15">
        <v>32.200000000000003</v>
      </c>
      <c r="G391" s="15">
        <v>32.299999999999997</v>
      </c>
      <c r="H391" s="15">
        <v>32.6</v>
      </c>
      <c r="I391" s="15">
        <v>32.200000000000003</v>
      </c>
      <c r="J391" s="15">
        <v>31.9</v>
      </c>
      <c r="K391" s="15">
        <v>31.4</v>
      </c>
      <c r="L391" s="15">
        <v>31.1</v>
      </c>
      <c r="M391" s="15">
        <v>30.9</v>
      </c>
      <c r="N391" s="15">
        <v>30.9</v>
      </c>
      <c r="O391" s="15">
        <v>30.9</v>
      </c>
      <c r="P391" s="12"/>
    </row>
    <row r="392" spans="1:16" ht="15" customHeight="1" x14ac:dyDescent="0.25">
      <c r="A392" s="233"/>
      <c r="B392" s="14">
        <v>46159</v>
      </c>
      <c r="C392" s="12" t="s">
        <v>12</v>
      </c>
      <c r="D392" s="15">
        <v>30.8</v>
      </c>
      <c r="E392" s="15">
        <v>31</v>
      </c>
      <c r="F392" s="15">
        <v>31.8</v>
      </c>
      <c r="G392" s="15">
        <v>32.200000000000003</v>
      </c>
      <c r="H392" s="15">
        <v>32.4</v>
      </c>
      <c r="I392" s="15">
        <v>32.1</v>
      </c>
      <c r="J392" s="15">
        <v>31.9</v>
      </c>
      <c r="K392" s="15">
        <v>31.4</v>
      </c>
      <c r="L392" s="15">
        <v>31.1</v>
      </c>
      <c r="M392" s="15">
        <v>30.9</v>
      </c>
      <c r="N392" s="15">
        <v>30.6</v>
      </c>
      <c r="O392" s="15">
        <v>30.3</v>
      </c>
      <c r="P392" s="12"/>
    </row>
    <row r="393" spans="1:16" ht="15" customHeight="1" x14ac:dyDescent="0.25">
      <c r="A393" s="233"/>
      <c r="B393" s="14">
        <v>46160</v>
      </c>
      <c r="C393" s="12" t="s">
        <v>13</v>
      </c>
      <c r="D393" s="15">
        <v>30.3</v>
      </c>
      <c r="E393" s="15">
        <v>30.6</v>
      </c>
      <c r="F393" s="15">
        <v>31.2</v>
      </c>
      <c r="G393" s="15">
        <v>31.8</v>
      </c>
      <c r="H393" s="15">
        <v>31.8</v>
      </c>
      <c r="I393" s="15">
        <v>31.7</v>
      </c>
      <c r="J393" s="15">
        <v>31.4</v>
      </c>
      <c r="K393" s="15">
        <v>31</v>
      </c>
      <c r="L393" s="15">
        <v>30.9</v>
      </c>
      <c r="M393" s="15">
        <v>30.7</v>
      </c>
      <c r="N393" s="15">
        <v>30.4</v>
      </c>
      <c r="O393" s="15">
        <v>30.2</v>
      </c>
      <c r="P393" s="12"/>
    </row>
    <row r="394" spans="1:16" ht="15" customHeight="1" x14ac:dyDescent="0.25">
      <c r="A394" s="233"/>
      <c r="B394" s="14">
        <v>46161</v>
      </c>
      <c r="C394" s="12" t="s">
        <v>14</v>
      </c>
      <c r="D394" s="15">
        <v>30.5</v>
      </c>
      <c r="E394" s="15">
        <v>30.5</v>
      </c>
      <c r="F394" s="15">
        <v>30.9</v>
      </c>
      <c r="G394" s="15">
        <v>31.4</v>
      </c>
      <c r="H394" s="15">
        <v>31.6</v>
      </c>
      <c r="I394" s="15">
        <v>31.6</v>
      </c>
      <c r="J394" s="15">
        <v>31.3</v>
      </c>
      <c r="K394" s="15">
        <v>31.1</v>
      </c>
      <c r="L394" s="15">
        <v>30.6</v>
      </c>
      <c r="M394" s="15">
        <v>30.6</v>
      </c>
      <c r="N394" s="15">
        <v>30.3</v>
      </c>
      <c r="O394" s="15">
        <v>30</v>
      </c>
      <c r="P394" s="12"/>
    </row>
    <row r="395" spans="1:16" ht="15" customHeight="1" x14ac:dyDescent="0.25">
      <c r="A395" s="233"/>
      <c r="B395" s="14">
        <v>46162</v>
      </c>
      <c r="C395" s="12" t="s">
        <v>15</v>
      </c>
      <c r="D395" s="15">
        <v>30</v>
      </c>
      <c r="E395" s="15">
        <v>30.4</v>
      </c>
      <c r="F395" s="15">
        <v>30.6</v>
      </c>
      <c r="G395" s="15">
        <v>31</v>
      </c>
      <c r="H395" s="15">
        <v>31.1</v>
      </c>
      <c r="I395" s="15">
        <v>31.1</v>
      </c>
      <c r="J395" s="15">
        <v>30.9</v>
      </c>
      <c r="K395" s="15">
        <v>30.7</v>
      </c>
      <c r="L395" s="15">
        <v>30.6</v>
      </c>
      <c r="M395" s="15">
        <v>30.4</v>
      </c>
      <c r="N395" s="15">
        <v>30.1</v>
      </c>
      <c r="O395" s="15">
        <v>30</v>
      </c>
      <c r="P395" s="12"/>
    </row>
    <row r="396" spans="1:16" ht="15" customHeight="1" x14ac:dyDescent="0.25">
      <c r="A396" s="233"/>
      <c r="B396" s="14">
        <v>46163</v>
      </c>
      <c r="C396" s="12" t="s">
        <v>16</v>
      </c>
      <c r="D396" s="15">
        <v>29.9</v>
      </c>
      <c r="E396" s="15">
        <v>30.1</v>
      </c>
      <c r="F396" s="15">
        <v>30.8</v>
      </c>
      <c r="G396" s="15">
        <v>31.2</v>
      </c>
      <c r="H396" s="15">
        <v>31.3</v>
      </c>
      <c r="I396" s="15">
        <v>31.3</v>
      </c>
      <c r="J396" s="15">
        <v>31.1</v>
      </c>
      <c r="K396" s="15">
        <v>30.9</v>
      </c>
      <c r="L396" s="15">
        <v>30.6</v>
      </c>
      <c r="M396" s="15">
        <v>30.3</v>
      </c>
      <c r="N396" s="15">
        <v>30.1</v>
      </c>
      <c r="O396" s="15">
        <v>29.8</v>
      </c>
      <c r="P396" s="16"/>
    </row>
    <row r="397" spans="1:16" ht="15" customHeight="1" x14ac:dyDescent="0.25">
      <c r="A397" s="233"/>
      <c r="B397" s="14">
        <v>46164</v>
      </c>
      <c r="C397" s="12" t="s">
        <v>17</v>
      </c>
      <c r="D397" s="15">
        <v>30</v>
      </c>
      <c r="E397" s="15">
        <v>30.5</v>
      </c>
      <c r="F397" s="15">
        <v>31</v>
      </c>
      <c r="G397" s="15">
        <v>31.2</v>
      </c>
      <c r="H397" s="15">
        <v>31.5</v>
      </c>
      <c r="I397" s="15">
        <v>31.4</v>
      </c>
      <c r="J397" s="15">
        <v>31.1</v>
      </c>
      <c r="K397" s="15">
        <v>30.8</v>
      </c>
      <c r="L397" s="15">
        <v>30.6</v>
      </c>
      <c r="M397" s="15">
        <v>30.2</v>
      </c>
      <c r="N397" s="15">
        <v>30.1</v>
      </c>
      <c r="O397" s="15">
        <v>29.9</v>
      </c>
      <c r="P397" s="16"/>
    </row>
    <row r="398" spans="1:16" ht="15" customHeight="1" x14ac:dyDescent="0.25">
      <c r="A398" s="233"/>
      <c r="B398" s="14">
        <v>46165</v>
      </c>
      <c r="C398" s="17" t="s">
        <v>18</v>
      </c>
      <c r="D398" s="15">
        <v>29.8</v>
      </c>
      <c r="E398" s="15">
        <v>29.8</v>
      </c>
      <c r="F398" s="15">
        <v>29.9</v>
      </c>
      <c r="G398" s="15">
        <v>30.4</v>
      </c>
      <c r="H398" s="15">
        <v>30.7</v>
      </c>
      <c r="I398" s="15">
        <v>30.6</v>
      </c>
      <c r="J398" s="15">
        <v>30.5</v>
      </c>
      <c r="K398" s="15">
        <v>30</v>
      </c>
      <c r="L398" s="15">
        <v>29.8</v>
      </c>
      <c r="M398" s="15">
        <v>29.8</v>
      </c>
      <c r="N398" s="15">
        <v>29.8</v>
      </c>
      <c r="O398" s="15">
        <v>29.6</v>
      </c>
      <c r="P398" s="16"/>
    </row>
    <row r="399" spans="1:16" ht="15" customHeight="1" x14ac:dyDescent="0.25">
      <c r="A399" s="233"/>
      <c r="B399" s="14">
        <v>46166</v>
      </c>
      <c r="C399" s="17" t="s">
        <v>19</v>
      </c>
      <c r="D399" s="15">
        <v>30</v>
      </c>
      <c r="E399" s="15">
        <v>30</v>
      </c>
      <c r="F399" s="15">
        <v>30.2</v>
      </c>
      <c r="G399" s="15">
        <v>30.4</v>
      </c>
      <c r="H399" s="15">
        <v>30.5</v>
      </c>
      <c r="I399" s="15"/>
      <c r="J399" s="15"/>
      <c r="K399" s="15"/>
      <c r="L399" s="15"/>
      <c r="M399" s="15"/>
      <c r="N399" s="15"/>
      <c r="O399" s="15"/>
      <c r="P399" s="16"/>
    </row>
    <row r="400" spans="1:16" ht="15" customHeight="1" x14ac:dyDescent="0.25">
      <c r="A400" s="234"/>
      <c r="B400" s="14">
        <v>46167</v>
      </c>
      <c r="C400" s="17" t="s">
        <v>20</v>
      </c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6"/>
    </row>
    <row r="401" spans="1:16" ht="15" customHeight="1" x14ac:dyDescent="0.25">
      <c r="A401" s="232">
        <v>21</v>
      </c>
      <c r="B401" s="235" t="s">
        <v>0</v>
      </c>
      <c r="C401" s="235" t="s">
        <v>65</v>
      </c>
      <c r="D401" s="237" t="s">
        <v>1</v>
      </c>
      <c r="E401" s="238"/>
      <c r="F401" s="238"/>
      <c r="G401" s="238"/>
      <c r="H401" s="238"/>
      <c r="I401" s="238"/>
      <c r="J401" s="238"/>
      <c r="K401" s="238"/>
      <c r="L401" s="238"/>
      <c r="M401" s="238"/>
      <c r="N401" s="238"/>
      <c r="O401" s="239"/>
      <c r="P401" s="12" t="s">
        <v>2</v>
      </c>
    </row>
    <row r="402" spans="1:16" ht="15" customHeight="1" x14ac:dyDescent="0.25">
      <c r="A402" s="233"/>
      <c r="B402" s="236"/>
      <c r="C402" s="236"/>
      <c r="D402" s="13">
        <v>0.375</v>
      </c>
      <c r="E402" s="13">
        <v>0.45833333333333331</v>
      </c>
      <c r="F402" s="13">
        <v>0.54166666666666696</v>
      </c>
      <c r="G402" s="13">
        <v>0.625</v>
      </c>
      <c r="H402" s="13">
        <v>0.70833333333333304</v>
      </c>
      <c r="I402" s="13">
        <v>0.79166666666666696</v>
      </c>
      <c r="J402" s="13">
        <v>0.875</v>
      </c>
      <c r="K402" s="13">
        <v>0.95833333333333304</v>
      </c>
      <c r="L402" s="13">
        <v>1.0416666666666701</v>
      </c>
      <c r="M402" s="13">
        <v>1.125</v>
      </c>
      <c r="N402" s="13">
        <v>1.2083333333333299</v>
      </c>
      <c r="O402" s="13">
        <v>1.2916666666666601</v>
      </c>
      <c r="P402" s="12"/>
    </row>
    <row r="403" spans="1:16" ht="15" customHeight="1" x14ac:dyDescent="0.25">
      <c r="A403" s="233"/>
      <c r="B403" s="14">
        <v>46151</v>
      </c>
      <c r="C403" s="12" t="s">
        <v>3</v>
      </c>
      <c r="D403" s="15"/>
      <c r="E403" s="15"/>
      <c r="F403" s="15"/>
      <c r="G403" s="15"/>
      <c r="H403" s="15"/>
      <c r="I403" s="15">
        <v>33</v>
      </c>
      <c r="J403" s="15"/>
      <c r="K403" s="15">
        <v>33</v>
      </c>
      <c r="L403" s="15"/>
      <c r="M403" s="15">
        <v>33</v>
      </c>
      <c r="N403" s="15"/>
      <c r="O403" s="15">
        <v>32.799999999999997</v>
      </c>
      <c r="P403" s="16"/>
    </row>
    <row r="404" spans="1:16" ht="15" customHeight="1" x14ac:dyDescent="0.25">
      <c r="A404" s="233"/>
      <c r="B404" s="14">
        <v>46152</v>
      </c>
      <c r="C404" s="12" t="s">
        <v>4</v>
      </c>
      <c r="D404" s="15"/>
      <c r="E404" s="15">
        <v>34.200000000000003</v>
      </c>
      <c r="F404" s="15"/>
      <c r="G404" s="15">
        <v>34.299999999999997</v>
      </c>
      <c r="H404" s="15"/>
      <c r="I404" s="15">
        <v>34.1</v>
      </c>
      <c r="J404" s="15"/>
      <c r="K404" s="15">
        <v>34</v>
      </c>
      <c r="L404" s="15"/>
      <c r="M404" s="15">
        <v>33.799999999999997</v>
      </c>
      <c r="N404" s="15"/>
      <c r="O404" s="15">
        <v>33.9</v>
      </c>
      <c r="P404" s="12"/>
    </row>
    <row r="405" spans="1:16" ht="15" customHeight="1" x14ac:dyDescent="0.25">
      <c r="A405" s="233"/>
      <c r="B405" s="14">
        <v>46153</v>
      </c>
      <c r="C405" s="12" t="s">
        <v>5</v>
      </c>
      <c r="D405" s="15">
        <v>33.799999999999997</v>
      </c>
      <c r="E405" s="15">
        <v>34.799999999999997</v>
      </c>
      <c r="F405" s="15">
        <v>34</v>
      </c>
      <c r="G405" s="15">
        <v>34.299999999999997</v>
      </c>
      <c r="H405" s="15">
        <v>34.1</v>
      </c>
      <c r="I405" s="15">
        <v>33.5</v>
      </c>
      <c r="J405" s="15">
        <v>33.9</v>
      </c>
      <c r="K405" s="15">
        <v>34</v>
      </c>
      <c r="L405" s="15">
        <v>34</v>
      </c>
      <c r="M405" s="15">
        <v>34</v>
      </c>
      <c r="N405" s="15">
        <v>34</v>
      </c>
      <c r="O405" s="15">
        <v>33.799999999999997</v>
      </c>
      <c r="P405" s="12"/>
    </row>
    <row r="406" spans="1:16" ht="15" customHeight="1" x14ac:dyDescent="0.25">
      <c r="A406" s="233"/>
      <c r="B406" s="14">
        <v>46154</v>
      </c>
      <c r="C406" s="12" t="s">
        <v>6</v>
      </c>
      <c r="D406" s="15">
        <v>33.799999999999997</v>
      </c>
      <c r="E406" s="15">
        <v>34</v>
      </c>
      <c r="F406" s="15">
        <v>34.1</v>
      </c>
      <c r="G406" s="15">
        <v>34.1</v>
      </c>
      <c r="H406" s="15">
        <v>34.1</v>
      </c>
      <c r="I406" s="15">
        <v>33.9</v>
      </c>
      <c r="J406" s="15">
        <v>34</v>
      </c>
      <c r="K406" s="15">
        <v>33.9</v>
      </c>
      <c r="L406" s="15">
        <v>33.9</v>
      </c>
      <c r="M406" s="15">
        <v>34</v>
      </c>
      <c r="N406" s="15">
        <v>33.799999999999997</v>
      </c>
      <c r="O406" s="15">
        <v>33.799999999999997</v>
      </c>
      <c r="P406" s="12"/>
    </row>
    <row r="407" spans="1:16" ht="15" customHeight="1" x14ac:dyDescent="0.25">
      <c r="A407" s="233"/>
      <c r="B407" s="14">
        <v>46155</v>
      </c>
      <c r="C407" s="12" t="s">
        <v>7</v>
      </c>
      <c r="D407" s="15">
        <v>33.9</v>
      </c>
      <c r="E407" s="15">
        <v>34</v>
      </c>
      <c r="F407" s="15">
        <v>34</v>
      </c>
      <c r="G407" s="15">
        <v>34.1</v>
      </c>
      <c r="H407" s="15">
        <v>364.1</v>
      </c>
      <c r="I407" s="15">
        <v>33.4</v>
      </c>
      <c r="J407" s="15">
        <v>32.9</v>
      </c>
      <c r="K407" s="15">
        <v>32.799999999999997</v>
      </c>
      <c r="L407" s="15">
        <v>33</v>
      </c>
      <c r="M407" s="15">
        <v>32.799999999999997</v>
      </c>
      <c r="N407" s="15">
        <v>33</v>
      </c>
      <c r="O407" s="15">
        <v>32.9</v>
      </c>
      <c r="P407" s="12"/>
    </row>
    <row r="408" spans="1:16" ht="15" customHeight="1" x14ac:dyDescent="0.25">
      <c r="A408" s="233"/>
      <c r="B408" s="14">
        <v>46156</v>
      </c>
      <c r="C408" s="12" t="s">
        <v>8</v>
      </c>
      <c r="D408" s="15">
        <v>33</v>
      </c>
      <c r="E408" s="15">
        <v>33</v>
      </c>
      <c r="F408" s="15">
        <v>33</v>
      </c>
      <c r="G408" s="15">
        <v>33</v>
      </c>
      <c r="H408" s="15">
        <v>33.5</v>
      </c>
      <c r="I408" s="15">
        <v>32.9</v>
      </c>
      <c r="J408" s="15">
        <v>33</v>
      </c>
      <c r="K408" s="15">
        <v>33</v>
      </c>
      <c r="L408" s="15">
        <v>32.799999999999997</v>
      </c>
      <c r="M408" s="15">
        <v>32.799999999999997</v>
      </c>
      <c r="N408" s="15">
        <v>32.799999999999997</v>
      </c>
      <c r="O408" s="15">
        <v>32.799999999999997</v>
      </c>
      <c r="P408" s="12"/>
    </row>
    <row r="409" spans="1:16" ht="15" customHeight="1" x14ac:dyDescent="0.25">
      <c r="A409" s="233"/>
      <c r="B409" s="14">
        <v>46157</v>
      </c>
      <c r="C409" s="12" t="s">
        <v>9</v>
      </c>
      <c r="D409" s="15">
        <v>33</v>
      </c>
      <c r="E409" s="15">
        <v>33</v>
      </c>
      <c r="F409" s="15">
        <v>32.5</v>
      </c>
      <c r="G409" s="15">
        <v>32.299999999999997</v>
      </c>
      <c r="H409" s="15">
        <v>32</v>
      </c>
      <c r="I409" s="15">
        <v>32</v>
      </c>
      <c r="J409" s="15">
        <v>32</v>
      </c>
      <c r="K409" s="15">
        <v>31.8</v>
      </c>
      <c r="L409" s="15">
        <v>31.7</v>
      </c>
      <c r="M409" s="15">
        <v>32</v>
      </c>
      <c r="N409" s="15">
        <v>32</v>
      </c>
      <c r="O409" s="15">
        <v>31.8</v>
      </c>
      <c r="P409" s="12"/>
    </row>
    <row r="410" spans="1:16" ht="15" customHeight="1" x14ac:dyDescent="0.25">
      <c r="A410" s="233"/>
      <c r="B410" s="14">
        <v>46158</v>
      </c>
      <c r="C410" s="12" t="s">
        <v>10</v>
      </c>
      <c r="D410" s="15">
        <v>32</v>
      </c>
      <c r="E410" s="15">
        <v>32</v>
      </c>
      <c r="F410" s="15">
        <v>32.1</v>
      </c>
      <c r="G410" s="15">
        <v>32.299999999999997</v>
      </c>
      <c r="H410" s="15">
        <v>32.5</v>
      </c>
      <c r="I410" s="15">
        <v>32.200000000000003</v>
      </c>
      <c r="J410" s="15">
        <v>31.8</v>
      </c>
      <c r="K410" s="15">
        <v>32</v>
      </c>
      <c r="L410" s="15">
        <v>31.9</v>
      </c>
      <c r="M410" s="15">
        <v>31.9</v>
      </c>
      <c r="N410" s="15">
        <v>32</v>
      </c>
      <c r="O410" s="15">
        <v>32.1</v>
      </c>
      <c r="P410" s="12"/>
    </row>
    <row r="411" spans="1:16" ht="15" customHeight="1" x14ac:dyDescent="0.25">
      <c r="A411" s="233"/>
      <c r="B411" s="14">
        <v>46159</v>
      </c>
      <c r="C411" s="12" t="s">
        <v>11</v>
      </c>
      <c r="D411" s="15">
        <v>32</v>
      </c>
      <c r="E411" s="15">
        <v>32.299999999999997</v>
      </c>
      <c r="F411" s="15">
        <v>32.6</v>
      </c>
      <c r="G411" s="15">
        <v>32.799999999999997</v>
      </c>
      <c r="H411" s="15">
        <v>32.299999999999997</v>
      </c>
      <c r="I411" s="15">
        <v>31.9</v>
      </c>
      <c r="J411" s="15">
        <v>31.9</v>
      </c>
      <c r="K411" s="15">
        <v>31.4</v>
      </c>
      <c r="L411" s="15">
        <v>31</v>
      </c>
      <c r="M411" s="15">
        <v>30.8</v>
      </c>
      <c r="N411" s="15">
        <v>31</v>
      </c>
      <c r="O411" s="15">
        <v>30.9</v>
      </c>
      <c r="P411" s="12"/>
    </row>
    <row r="412" spans="1:16" ht="15" customHeight="1" x14ac:dyDescent="0.25">
      <c r="A412" s="233"/>
      <c r="B412" s="14">
        <v>46160</v>
      </c>
      <c r="C412" s="12" t="s">
        <v>12</v>
      </c>
      <c r="D412" s="15">
        <v>32</v>
      </c>
      <c r="E412" s="15">
        <v>31.3</v>
      </c>
      <c r="F412" s="15">
        <v>31.8</v>
      </c>
      <c r="G412" s="15">
        <v>32</v>
      </c>
      <c r="H412" s="15">
        <v>32.200000000000003</v>
      </c>
      <c r="I412" s="15">
        <v>31.9</v>
      </c>
      <c r="J412" s="15">
        <v>31.6</v>
      </c>
      <c r="K412" s="15">
        <v>31.2</v>
      </c>
      <c r="L412" s="15">
        <v>30.8</v>
      </c>
      <c r="M412" s="15">
        <v>30.6</v>
      </c>
      <c r="N412" s="15">
        <v>30.3</v>
      </c>
      <c r="O412" s="15">
        <v>30.1</v>
      </c>
      <c r="P412" s="12"/>
    </row>
    <row r="413" spans="1:16" ht="15" customHeight="1" x14ac:dyDescent="0.25">
      <c r="A413" s="233"/>
      <c r="B413" s="14">
        <v>46161</v>
      </c>
      <c r="C413" s="12" t="s">
        <v>13</v>
      </c>
      <c r="D413" s="15">
        <v>29.9</v>
      </c>
      <c r="E413" s="15">
        <v>29.9</v>
      </c>
      <c r="F413" s="15">
        <v>30.1</v>
      </c>
      <c r="G413" s="15">
        <v>30.4</v>
      </c>
      <c r="H413" s="15">
        <v>30.5</v>
      </c>
      <c r="I413" s="15">
        <v>30.5</v>
      </c>
      <c r="J413" s="15">
        <v>30.5</v>
      </c>
      <c r="K413" s="15">
        <v>30.3</v>
      </c>
      <c r="L413" s="15">
        <v>29.9</v>
      </c>
      <c r="M413" s="15">
        <v>30</v>
      </c>
      <c r="N413" s="15">
        <v>30</v>
      </c>
      <c r="O413" s="15">
        <v>29.9</v>
      </c>
      <c r="P413" s="12"/>
    </row>
    <row r="414" spans="1:16" ht="15" customHeight="1" x14ac:dyDescent="0.25">
      <c r="A414" s="233"/>
      <c r="B414" s="14">
        <v>46162</v>
      </c>
      <c r="C414" s="12" t="s">
        <v>14</v>
      </c>
      <c r="D414" s="15">
        <v>30</v>
      </c>
      <c r="E414" s="15">
        <v>30</v>
      </c>
      <c r="F414" s="15">
        <v>30.1</v>
      </c>
      <c r="G414" s="15">
        <v>30.3</v>
      </c>
      <c r="H414" s="15">
        <v>30.4</v>
      </c>
      <c r="I414" s="15">
        <v>30.4</v>
      </c>
      <c r="J414" s="15">
        <v>30.3</v>
      </c>
      <c r="K414" s="15">
        <v>30.1</v>
      </c>
      <c r="L414" s="15">
        <v>30</v>
      </c>
      <c r="M414" s="15">
        <v>30</v>
      </c>
      <c r="N414" s="15">
        <v>30</v>
      </c>
      <c r="O414" s="15">
        <v>30.2</v>
      </c>
      <c r="P414" s="12"/>
    </row>
    <row r="415" spans="1:16" ht="15" customHeight="1" x14ac:dyDescent="0.25">
      <c r="A415" s="233"/>
      <c r="B415" s="14">
        <v>46163</v>
      </c>
      <c r="C415" s="12" t="s">
        <v>15</v>
      </c>
      <c r="D415" s="15">
        <v>30</v>
      </c>
      <c r="E415" s="15">
        <v>30</v>
      </c>
      <c r="F415" s="15">
        <v>30.4</v>
      </c>
      <c r="G415" s="15">
        <v>30.6</v>
      </c>
      <c r="H415" s="15">
        <v>30.8</v>
      </c>
      <c r="I415" s="15">
        <v>30.8</v>
      </c>
      <c r="J415" s="15">
        <v>30.6</v>
      </c>
      <c r="K415" s="15">
        <v>30.3</v>
      </c>
      <c r="L415" s="15">
        <v>30.1</v>
      </c>
      <c r="M415" s="15">
        <v>30</v>
      </c>
      <c r="N415" s="15">
        <v>30</v>
      </c>
      <c r="O415" s="15">
        <v>30</v>
      </c>
      <c r="P415" s="12"/>
    </row>
    <row r="416" spans="1:16" ht="15" customHeight="1" x14ac:dyDescent="0.25">
      <c r="A416" s="233"/>
      <c r="B416" s="14">
        <v>46164</v>
      </c>
      <c r="C416" s="12" t="s">
        <v>16</v>
      </c>
      <c r="D416" s="15">
        <v>30</v>
      </c>
      <c r="E416" s="15">
        <v>30.4</v>
      </c>
      <c r="F416" s="15">
        <v>30.8</v>
      </c>
      <c r="G416" s="15">
        <v>30.8</v>
      </c>
      <c r="H416" s="15">
        <v>31</v>
      </c>
      <c r="I416" s="15">
        <v>30.8</v>
      </c>
      <c r="J416" s="15">
        <v>30.6</v>
      </c>
      <c r="K416" s="15">
        <v>30.2</v>
      </c>
      <c r="L416" s="15">
        <v>30</v>
      </c>
      <c r="M416" s="15">
        <v>30</v>
      </c>
      <c r="N416" s="15">
        <v>30</v>
      </c>
      <c r="O416" s="15">
        <v>29.9</v>
      </c>
      <c r="P416" s="16"/>
    </row>
    <row r="417" spans="1:16" ht="15" customHeight="1" x14ac:dyDescent="0.25">
      <c r="A417" s="233"/>
      <c r="B417" s="14">
        <v>46165</v>
      </c>
      <c r="C417" s="12" t="s">
        <v>17</v>
      </c>
      <c r="D417" s="15">
        <v>30</v>
      </c>
      <c r="E417" s="15">
        <v>29.8</v>
      </c>
      <c r="F417" s="15">
        <v>29.9</v>
      </c>
      <c r="G417" s="15">
        <v>30.1</v>
      </c>
      <c r="H417" s="15">
        <v>30.4</v>
      </c>
      <c r="I417" s="15">
        <v>30.3</v>
      </c>
      <c r="J417" s="15">
        <v>30.1</v>
      </c>
      <c r="K417" s="15">
        <v>29.9</v>
      </c>
      <c r="L417" s="15">
        <v>30</v>
      </c>
      <c r="M417" s="15">
        <v>29.9</v>
      </c>
      <c r="N417" s="15">
        <v>29.9</v>
      </c>
      <c r="O417" s="15">
        <v>30</v>
      </c>
      <c r="P417" s="16"/>
    </row>
    <row r="418" spans="1:16" ht="15" customHeight="1" x14ac:dyDescent="0.25">
      <c r="A418" s="233"/>
      <c r="B418" s="14">
        <v>46166</v>
      </c>
      <c r="C418" s="17" t="s">
        <v>18</v>
      </c>
      <c r="D418" s="15">
        <v>30</v>
      </c>
      <c r="E418" s="15">
        <v>30</v>
      </c>
      <c r="F418" s="15">
        <v>30</v>
      </c>
      <c r="G418" s="15">
        <v>30</v>
      </c>
      <c r="H418" s="15">
        <v>30</v>
      </c>
      <c r="I418" s="15">
        <v>29.8</v>
      </c>
      <c r="J418" s="15">
        <v>30</v>
      </c>
      <c r="K418" s="15">
        <v>30</v>
      </c>
      <c r="L418" s="15">
        <v>29.8</v>
      </c>
      <c r="M418" s="15">
        <v>29.8</v>
      </c>
      <c r="N418" s="15">
        <v>29.6</v>
      </c>
      <c r="O418" s="15">
        <v>30</v>
      </c>
      <c r="P418" s="16"/>
    </row>
    <row r="419" spans="1:16" ht="15" customHeight="1" x14ac:dyDescent="0.25">
      <c r="A419" s="233"/>
      <c r="B419" s="14">
        <v>46167</v>
      </c>
      <c r="C419" s="17" t="s">
        <v>19</v>
      </c>
      <c r="D419" s="15">
        <v>30</v>
      </c>
      <c r="E419" s="15">
        <v>30.3</v>
      </c>
      <c r="F419" s="15">
        <v>30.6</v>
      </c>
      <c r="G419" s="15">
        <v>30.9</v>
      </c>
      <c r="H419" s="15">
        <v>31</v>
      </c>
      <c r="I419" s="15"/>
      <c r="J419" s="15"/>
      <c r="K419" s="15"/>
      <c r="L419" s="15"/>
      <c r="M419" s="15"/>
      <c r="N419" s="15"/>
      <c r="O419" s="15"/>
      <c r="P419" s="16"/>
    </row>
    <row r="420" spans="1:16" ht="15" customHeight="1" x14ac:dyDescent="0.25">
      <c r="A420" s="234"/>
      <c r="B420" s="14">
        <v>46168</v>
      </c>
      <c r="C420" s="17" t="s">
        <v>20</v>
      </c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6"/>
    </row>
    <row r="421" spans="1:16" ht="15" customHeight="1" x14ac:dyDescent="0.25">
      <c r="A421" s="232">
        <v>22</v>
      </c>
      <c r="B421" s="235" t="s">
        <v>0</v>
      </c>
      <c r="C421" s="235" t="s">
        <v>65</v>
      </c>
      <c r="D421" s="237" t="s">
        <v>1</v>
      </c>
      <c r="E421" s="238"/>
      <c r="F421" s="238"/>
      <c r="G421" s="238"/>
      <c r="H421" s="238"/>
      <c r="I421" s="238"/>
      <c r="J421" s="238"/>
      <c r="K421" s="238"/>
      <c r="L421" s="238"/>
      <c r="M421" s="238"/>
      <c r="N421" s="238"/>
      <c r="O421" s="239"/>
      <c r="P421" s="12" t="s">
        <v>2</v>
      </c>
    </row>
    <row r="422" spans="1:16" ht="15" customHeight="1" x14ac:dyDescent="0.25">
      <c r="A422" s="233"/>
      <c r="B422" s="236"/>
      <c r="C422" s="236"/>
      <c r="D422" s="13">
        <v>0.375</v>
      </c>
      <c r="E422" s="13">
        <v>0.45833333333333331</v>
      </c>
      <c r="F422" s="13">
        <v>0.54166666666666696</v>
      </c>
      <c r="G422" s="13">
        <v>0.625</v>
      </c>
      <c r="H422" s="13">
        <v>0.70833333333333304</v>
      </c>
      <c r="I422" s="13">
        <v>0.79166666666666696</v>
      </c>
      <c r="J422" s="13">
        <v>0.875</v>
      </c>
      <c r="K422" s="13">
        <v>0.95833333333333304</v>
      </c>
      <c r="L422" s="13">
        <v>1.0416666666666701</v>
      </c>
      <c r="M422" s="13">
        <v>1.125</v>
      </c>
      <c r="N422" s="13">
        <v>1.2083333333333299</v>
      </c>
      <c r="O422" s="13">
        <v>1.2916666666666601</v>
      </c>
      <c r="P422" s="12"/>
    </row>
    <row r="423" spans="1:16" ht="15" customHeight="1" x14ac:dyDescent="0.25">
      <c r="A423" s="233"/>
      <c r="B423" s="14">
        <v>46151</v>
      </c>
      <c r="C423" s="12" t="s">
        <v>3</v>
      </c>
      <c r="D423" s="15"/>
      <c r="E423" s="15"/>
      <c r="F423" s="15"/>
      <c r="G423" s="15"/>
      <c r="H423" s="15"/>
      <c r="I423" s="15">
        <v>33</v>
      </c>
      <c r="J423" s="15"/>
      <c r="K423" s="15">
        <v>33</v>
      </c>
      <c r="L423" s="15"/>
      <c r="M423" s="15">
        <v>32.9</v>
      </c>
      <c r="N423" s="15"/>
      <c r="O423" s="15">
        <v>32.799999999999997</v>
      </c>
      <c r="P423" s="16"/>
    </row>
    <row r="424" spans="1:16" ht="15" customHeight="1" x14ac:dyDescent="0.25">
      <c r="A424" s="233"/>
      <c r="B424" s="14">
        <v>46152</v>
      </c>
      <c r="C424" s="12" t="s">
        <v>4</v>
      </c>
      <c r="D424" s="15"/>
      <c r="E424" s="15">
        <v>34</v>
      </c>
      <c r="F424" s="15"/>
      <c r="G424" s="15">
        <v>34.1</v>
      </c>
      <c r="H424" s="15"/>
      <c r="I424" s="15">
        <v>34</v>
      </c>
      <c r="J424" s="15"/>
      <c r="K424" s="15">
        <v>34</v>
      </c>
      <c r="L424" s="15"/>
      <c r="M424" s="15">
        <v>34</v>
      </c>
      <c r="N424" s="15"/>
      <c r="O424" s="15">
        <v>34.1</v>
      </c>
      <c r="P424" s="12"/>
    </row>
    <row r="425" spans="1:16" ht="15" customHeight="1" x14ac:dyDescent="0.25">
      <c r="A425" s="233"/>
      <c r="B425" s="14">
        <v>46153</v>
      </c>
      <c r="C425" s="12" t="s">
        <v>5</v>
      </c>
      <c r="D425" s="15">
        <v>33.9</v>
      </c>
      <c r="E425" s="15">
        <v>33.799999999999997</v>
      </c>
      <c r="F425" s="15">
        <v>33.9</v>
      </c>
      <c r="G425" s="15">
        <v>34.200000000000003</v>
      </c>
      <c r="H425" s="15">
        <v>33.799999999999997</v>
      </c>
      <c r="I425" s="15">
        <v>33.700000000000003</v>
      </c>
      <c r="J425" s="15">
        <v>34</v>
      </c>
      <c r="K425" s="15">
        <v>33.799999999999997</v>
      </c>
      <c r="L425" s="15">
        <v>33.799999999999997</v>
      </c>
      <c r="M425" s="15">
        <v>33.9</v>
      </c>
      <c r="N425" s="15">
        <v>34</v>
      </c>
      <c r="O425" s="15">
        <v>34</v>
      </c>
      <c r="P425" s="12"/>
    </row>
    <row r="426" spans="1:16" ht="15" customHeight="1" x14ac:dyDescent="0.25">
      <c r="A426" s="233"/>
      <c r="B426" s="14">
        <v>46154</v>
      </c>
      <c r="C426" s="12" t="s">
        <v>6</v>
      </c>
      <c r="D426" s="15">
        <v>34</v>
      </c>
      <c r="E426" s="15">
        <v>34</v>
      </c>
      <c r="F426" s="15">
        <v>34</v>
      </c>
      <c r="G426" s="15">
        <v>34</v>
      </c>
      <c r="H426" s="15">
        <v>34</v>
      </c>
      <c r="I426" s="15">
        <v>34</v>
      </c>
      <c r="J426" s="15">
        <v>34</v>
      </c>
      <c r="K426" s="15">
        <v>33.700000000000003</v>
      </c>
      <c r="L426" s="15">
        <v>33.700000000000003</v>
      </c>
      <c r="M426" s="15">
        <v>34</v>
      </c>
      <c r="N426" s="15">
        <v>33.9</v>
      </c>
      <c r="O426" s="15">
        <v>33.9</v>
      </c>
      <c r="P426" s="12"/>
    </row>
    <row r="427" spans="1:16" ht="15" customHeight="1" x14ac:dyDescent="0.25">
      <c r="A427" s="233"/>
      <c r="B427" s="14">
        <v>46155</v>
      </c>
      <c r="C427" s="12" t="s">
        <v>7</v>
      </c>
      <c r="D427" s="15">
        <v>33.799999999999997</v>
      </c>
      <c r="E427" s="15">
        <v>34.1</v>
      </c>
      <c r="F427" s="15">
        <v>34.299999999999997</v>
      </c>
      <c r="G427" s="15">
        <v>34.299999999999997</v>
      </c>
      <c r="H427" s="15">
        <v>34.299999999999997</v>
      </c>
      <c r="I427" s="15">
        <v>33.6</v>
      </c>
      <c r="J427" s="15">
        <v>33.1</v>
      </c>
      <c r="K427" s="15">
        <v>33</v>
      </c>
      <c r="L427" s="15">
        <v>32.9</v>
      </c>
      <c r="M427" s="15">
        <v>32.9</v>
      </c>
      <c r="N427" s="15">
        <v>33</v>
      </c>
      <c r="O427" s="15">
        <v>33.1</v>
      </c>
      <c r="P427" s="12"/>
    </row>
    <row r="428" spans="1:16" ht="15" customHeight="1" x14ac:dyDescent="0.25">
      <c r="A428" s="233"/>
      <c r="B428" s="14">
        <v>46156</v>
      </c>
      <c r="C428" s="12" t="s">
        <v>8</v>
      </c>
      <c r="D428" s="15">
        <v>32.9</v>
      </c>
      <c r="E428" s="15">
        <v>33</v>
      </c>
      <c r="F428" s="15">
        <v>33</v>
      </c>
      <c r="G428" s="15">
        <v>33.1</v>
      </c>
      <c r="H428" s="15">
        <v>33</v>
      </c>
      <c r="I428" s="15">
        <v>32.799999999999997</v>
      </c>
      <c r="J428" s="15">
        <v>32.9</v>
      </c>
      <c r="K428" s="15">
        <v>32.799999999999997</v>
      </c>
      <c r="L428" s="15">
        <v>33</v>
      </c>
      <c r="M428" s="15">
        <v>32.9</v>
      </c>
      <c r="N428" s="15">
        <v>33</v>
      </c>
      <c r="O428" s="15">
        <v>32.9</v>
      </c>
      <c r="P428" s="12"/>
    </row>
    <row r="429" spans="1:16" ht="15" customHeight="1" x14ac:dyDescent="0.25">
      <c r="A429" s="233"/>
      <c r="B429" s="14">
        <v>46157</v>
      </c>
      <c r="C429" s="12" t="s">
        <v>9</v>
      </c>
      <c r="D429" s="15">
        <v>33</v>
      </c>
      <c r="E429" s="15">
        <v>33</v>
      </c>
      <c r="F429" s="15">
        <v>33</v>
      </c>
      <c r="G429" s="15">
        <v>33</v>
      </c>
      <c r="H429" s="15">
        <v>32.6</v>
      </c>
      <c r="I429" s="15">
        <v>32.200000000000003</v>
      </c>
      <c r="J429" s="15">
        <v>32</v>
      </c>
      <c r="K429" s="15">
        <v>32</v>
      </c>
      <c r="L429" s="15">
        <v>32</v>
      </c>
      <c r="M429" s="15">
        <v>31.9</v>
      </c>
      <c r="N429" s="15">
        <v>31.8</v>
      </c>
      <c r="O429" s="15">
        <v>31.8</v>
      </c>
      <c r="P429" s="12"/>
    </row>
    <row r="430" spans="1:16" ht="15" customHeight="1" x14ac:dyDescent="0.25">
      <c r="A430" s="233"/>
      <c r="B430" s="14">
        <v>46158</v>
      </c>
      <c r="C430" s="12" t="s">
        <v>10</v>
      </c>
      <c r="D430" s="15">
        <v>32</v>
      </c>
      <c r="E430" s="15">
        <v>32.1</v>
      </c>
      <c r="F430" s="15">
        <v>32.4</v>
      </c>
      <c r="G430" s="15">
        <v>32.700000000000003</v>
      </c>
      <c r="H430" s="15">
        <v>31.6</v>
      </c>
      <c r="I430" s="15">
        <v>32.299999999999997</v>
      </c>
      <c r="J430" s="15">
        <v>32</v>
      </c>
      <c r="K430" s="15">
        <v>31.8</v>
      </c>
      <c r="L430" s="15">
        <v>32</v>
      </c>
      <c r="M430" s="15">
        <v>32</v>
      </c>
      <c r="N430" s="15">
        <v>32</v>
      </c>
      <c r="O430" s="15">
        <v>31.9</v>
      </c>
      <c r="P430" s="12"/>
    </row>
    <row r="431" spans="1:16" ht="15" customHeight="1" x14ac:dyDescent="0.25">
      <c r="A431" s="233"/>
      <c r="B431" s="14">
        <v>46159</v>
      </c>
      <c r="C431" s="12" t="s">
        <v>11</v>
      </c>
      <c r="D431" s="15">
        <v>32</v>
      </c>
      <c r="E431" s="15">
        <v>31.9</v>
      </c>
      <c r="F431" s="15">
        <v>31.9</v>
      </c>
      <c r="G431" s="15">
        <v>31.8</v>
      </c>
      <c r="H431" s="15">
        <v>31.6</v>
      </c>
      <c r="I431" s="15">
        <v>31.4</v>
      </c>
      <c r="J431" s="15">
        <v>31</v>
      </c>
      <c r="K431" s="15">
        <v>31</v>
      </c>
      <c r="L431" s="15">
        <v>30.9</v>
      </c>
      <c r="M431" s="15">
        <v>30.9</v>
      </c>
      <c r="N431" s="15">
        <v>31</v>
      </c>
      <c r="O431" s="15">
        <v>31</v>
      </c>
      <c r="P431" s="12"/>
    </row>
    <row r="432" spans="1:16" ht="15" customHeight="1" x14ac:dyDescent="0.25">
      <c r="A432" s="233"/>
      <c r="B432" s="14">
        <v>46160</v>
      </c>
      <c r="C432" s="12" t="s">
        <v>12</v>
      </c>
      <c r="D432" s="15">
        <v>31</v>
      </c>
      <c r="E432" s="15">
        <v>31</v>
      </c>
      <c r="F432" s="15">
        <v>31</v>
      </c>
      <c r="G432" s="15">
        <v>31</v>
      </c>
      <c r="H432" s="15">
        <v>32.1</v>
      </c>
      <c r="I432" s="15">
        <v>31.9</v>
      </c>
      <c r="J432" s="15">
        <v>31.5</v>
      </c>
      <c r="K432" s="15">
        <v>31.2</v>
      </c>
      <c r="L432" s="15">
        <v>30.8</v>
      </c>
      <c r="M432" s="15">
        <v>30.8</v>
      </c>
      <c r="N432" s="15">
        <v>30.3</v>
      </c>
      <c r="O432" s="15">
        <v>30.2</v>
      </c>
      <c r="P432" s="12"/>
    </row>
    <row r="433" spans="1:23" ht="15" customHeight="1" x14ac:dyDescent="0.25">
      <c r="A433" s="233"/>
      <c r="B433" s="14">
        <v>46161</v>
      </c>
      <c r="C433" s="12" t="s">
        <v>13</v>
      </c>
      <c r="D433" s="15">
        <v>30</v>
      </c>
      <c r="E433" s="15">
        <v>29.9</v>
      </c>
      <c r="F433" s="15">
        <v>30.1</v>
      </c>
      <c r="G433" s="15">
        <v>30.3</v>
      </c>
      <c r="H433" s="15">
        <v>30.4</v>
      </c>
      <c r="I433" s="15">
        <v>30.4</v>
      </c>
      <c r="J433" s="15">
        <v>30.3</v>
      </c>
      <c r="K433" s="15">
        <v>30.2</v>
      </c>
      <c r="L433" s="15">
        <v>30</v>
      </c>
      <c r="M433" s="15">
        <v>29.9</v>
      </c>
      <c r="N433" s="15">
        <v>29.9</v>
      </c>
      <c r="O433" s="15">
        <v>29.9</v>
      </c>
      <c r="P433" s="12"/>
    </row>
    <row r="434" spans="1:23" ht="15" customHeight="1" x14ac:dyDescent="0.25">
      <c r="A434" s="233"/>
      <c r="B434" s="14">
        <v>46162</v>
      </c>
      <c r="C434" s="12" t="s">
        <v>14</v>
      </c>
      <c r="D434" s="15">
        <v>30</v>
      </c>
      <c r="E434" s="15">
        <v>30.1</v>
      </c>
      <c r="F434" s="15">
        <v>30.1</v>
      </c>
      <c r="G434" s="15">
        <v>30.2</v>
      </c>
      <c r="H434" s="15">
        <v>30.2</v>
      </c>
      <c r="I434" s="15">
        <v>30.25</v>
      </c>
      <c r="J434" s="15">
        <v>30.2</v>
      </c>
      <c r="K434" s="15">
        <v>30.1</v>
      </c>
      <c r="L434" s="15">
        <v>29.8</v>
      </c>
      <c r="M434" s="15">
        <v>29.9</v>
      </c>
      <c r="N434" s="15">
        <v>30</v>
      </c>
      <c r="O434" s="15">
        <v>30</v>
      </c>
      <c r="P434" s="12"/>
    </row>
    <row r="435" spans="1:23" ht="15" customHeight="1" x14ac:dyDescent="0.25">
      <c r="A435" s="233"/>
      <c r="B435" s="14">
        <v>46163</v>
      </c>
      <c r="C435" s="12" t="s">
        <v>15</v>
      </c>
      <c r="D435" s="15">
        <v>30</v>
      </c>
      <c r="E435" s="15">
        <v>30.1</v>
      </c>
      <c r="F435" s="15">
        <v>30.4</v>
      </c>
      <c r="G435" s="15">
        <v>30.5</v>
      </c>
      <c r="H435" s="15">
        <v>30.6</v>
      </c>
      <c r="I435" s="15">
        <v>30.6</v>
      </c>
      <c r="J435" s="15">
        <v>30.5</v>
      </c>
      <c r="K435" s="15">
        <v>30.2</v>
      </c>
      <c r="L435" s="15">
        <v>29.9</v>
      </c>
      <c r="M435" s="15">
        <v>29.9</v>
      </c>
      <c r="N435" s="15">
        <v>29.9</v>
      </c>
      <c r="O435" s="15">
        <v>29.9</v>
      </c>
      <c r="P435" s="12"/>
    </row>
    <row r="436" spans="1:23" ht="15" customHeight="1" x14ac:dyDescent="0.25">
      <c r="A436" s="233"/>
      <c r="B436" s="14">
        <v>46164</v>
      </c>
      <c r="C436" s="12" t="s">
        <v>16</v>
      </c>
      <c r="D436" s="15">
        <v>30</v>
      </c>
      <c r="E436" s="15">
        <v>30.1</v>
      </c>
      <c r="F436" s="15">
        <v>30.5</v>
      </c>
      <c r="G436" s="15">
        <v>30.5</v>
      </c>
      <c r="H436" s="15">
        <v>30.6</v>
      </c>
      <c r="I436" s="15">
        <v>30.6</v>
      </c>
      <c r="J436" s="15">
        <v>30.3</v>
      </c>
      <c r="K436" s="15">
        <v>30</v>
      </c>
      <c r="L436" s="15">
        <v>29.9</v>
      </c>
      <c r="M436" s="15">
        <v>29.9</v>
      </c>
      <c r="N436" s="15">
        <v>29.9</v>
      </c>
      <c r="O436" s="15">
        <v>30</v>
      </c>
      <c r="P436" s="16"/>
    </row>
    <row r="437" spans="1:23" ht="15" customHeight="1" x14ac:dyDescent="0.25">
      <c r="A437" s="233"/>
      <c r="B437" s="14">
        <v>46165</v>
      </c>
      <c r="C437" s="12" t="s">
        <v>17</v>
      </c>
      <c r="D437" s="15">
        <v>30</v>
      </c>
      <c r="E437" s="15">
        <v>29.9</v>
      </c>
      <c r="F437" s="15">
        <v>29.9</v>
      </c>
      <c r="G437" s="15">
        <v>30</v>
      </c>
      <c r="H437" s="15">
        <v>30.1</v>
      </c>
      <c r="I437" s="15">
        <v>30.1</v>
      </c>
      <c r="J437" s="15">
        <v>30</v>
      </c>
      <c r="K437" s="15">
        <v>30</v>
      </c>
      <c r="L437" s="15">
        <v>29.8</v>
      </c>
      <c r="M437" s="15">
        <v>29.9</v>
      </c>
      <c r="N437" s="15">
        <v>29.9</v>
      </c>
      <c r="O437" s="15">
        <v>29.9</v>
      </c>
      <c r="P437" s="16"/>
    </row>
    <row r="438" spans="1:23" ht="15" customHeight="1" x14ac:dyDescent="0.25">
      <c r="A438" s="233"/>
      <c r="B438" s="14">
        <v>46166</v>
      </c>
      <c r="C438" s="17" t="s">
        <v>18</v>
      </c>
      <c r="D438" s="15">
        <v>30</v>
      </c>
      <c r="E438" s="15">
        <v>30</v>
      </c>
      <c r="F438" s="15">
        <v>30</v>
      </c>
      <c r="G438" s="15">
        <v>30</v>
      </c>
      <c r="H438" s="15">
        <v>30</v>
      </c>
      <c r="I438" s="15">
        <v>30</v>
      </c>
      <c r="J438" s="15">
        <v>30</v>
      </c>
      <c r="K438" s="15">
        <v>30</v>
      </c>
      <c r="L438" s="15">
        <v>30</v>
      </c>
      <c r="M438" s="15">
        <v>29.9</v>
      </c>
      <c r="N438" s="15">
        <v>29.6</v>
      </c>
      <c r="O438" s="15">
        <v>30</v>
      </c>
      <c r="P438" s="16"/>
    </row>
    <row r="439" spans="1:23" ht="15" customHeight="1" x14ac:dyDescent="0.25">
      <c r="A439" s="233"/>
      <c r="B439" s="14">
        <v>46167</v>
      </c>
      <c r="C439" s="17" t="s">
        <v>19</v>
      </c>
      <c r="D439" s="15">
        <v>30</v>
      </c>
      <c r="E439" s="15">
        <v>30.1</v>
      </c>
      <c r="F439" s="15">
        <v>30.4</v>
      </c>
      <c r="G439" s="15">
        <v>30.696000000000002</v>
      </c>
      <c r="H439" s="15">
        <v>30.6</v>
      </c>
      <c r="I439" s="15"/>
      <c r="J439" s="15"/>
      <c r="K439" s="15"/>
      <c r="L439" s="15"/>
      <c r="M439" s="15"/>
      <c r="N439" s="15"/>
      <c r="O439" s="15"/>
      <c r="P439" s="16"/>
    </row>
    <row r="440" spans="1:23" ht="15" customHeight="1" x14ac:dyDescent="0.25">
      <c r="A440" s="234"/>
      <c r="B440" s="14">
        <v>46168</v>
      </c>
      <c r="C440" s="17" t="s">
        <v>20</v>
      </c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6"/>
    </row>
    <row r="441" spans="1:23" ht="15" customHeight="1" x14ac:dyDescent="0.25">
      <c r="A441" s="232">
        <v>23</v>
      </c>
      <c r="B441" s="235" t="s">
        <v>0</v>
      </c>
      <c r="C441" s="235" t="s">
        <v>65</v>
      </c>
      <c r="D441" s="237" t="s">
        <v>1</v>
      </c>
      <c r="E441" s="238"/>
      <c r="F441" s="238"/>
      <c r="G441" s="238"/>
      <c r="H441" s="238"/>
      <c r="I441" s="238"/>
      <c r="J441" s="238"/>
      <c r="K441" s="238"/>
      <c r="L441" s="238"/>
      <c r="M441" s="238"/>
      <c r="N441" s="238"/>
      <c r="O441" s="239"/>
      <c r="P441" s="12" t="s">
        <v>2</v>
      </c>
    </row>
    <row r="442" spans="1:23" ht="15" customHeight="1" x14ac:dyDescent="0.25">
      <c r="A442" s="233"/>
      <c r="B442" s="236"/>
      <c r="C442" s="236"/>
      <c r="D442" s="13">
        <v>0.375</v>
      </c>
      <c r="E442" s="13">
        <v>0.45833333333333331</v>
      </c>
      <c r="F442" s="13">
        <v>0.54166666666666696</v>
      </c>
      <c r="G442" s="13">
        <v>0.625</v>
      </c>
      <c r="H442" s="13">
        <v>0.70833333333333304</v>
      </c>
      <c r="I442" s="13">
        <v>0.79166666666666696</v>
      </c>
      <c r="J442" s="13">
        <v>0.875</v>
      </c>
      <c r="K442" s="13">
        <v>0.95833333333333304</v>
      </c>
      <c r="L442" s="13">
        <v>1.0416666666666701</v>
      </c>
      <c r="M442" s="13">
        <v>1.125</v>
      </c>
      <c r="N442" s="13">
        <v>1.2083333333333299</v>
      </c>
      <c r="O442" s="13">
        <v>1.2916666666666601</v>
      </c>
      <c r="P442" s="12"/>
      <c r="W442" t="s">
        <v>62</v>
      </c>
    </row>
    <row r="443" spans="1:23" ht="15" customHeight="1" x14ac:dyDescent="0.25">
      <c r="A443" s="233"/>
      <c r="B443" s="14">
        <v>46151</v>
      </c>
      <c r="C443" s="12" t="s">
        <v>3</v>
      </c>
      <c r="D443" s="15"/>
      <c r="E443" s="15"/>
      <c r="F443" s="15"/>
      <c r="G443" s="15"/>
      <c r="H443" s="15"/>
      <c r="I443" s="15">
        <v>33</v>
      </c>
      <c r="J443" s="15"/>
      <c r="K443" s="15">
        <v>33</v>
      </c>
      <c r="L443" s="15"/>
      <c r="M443" s="15">
        <v>33</v>
      </c>
      <c r="N443" s="15"/>
      <c r="O443" s="15">
        <v>33.1</v>
      </c>
      <c r="P443" s="16"/>
    </row>
    <row r="444" spans="1:23" ht="15" customHeight="1" x14ac:dyDescent="0.25">
      <c r="A444" s="233"/>
      <c r="B444" s="14">
        <v>46152</v>
      </c>
      <c r="C444" s="12" t="s">
        <v>4</v>
      </c>
      <c r="D444" s="15"/>
      <c r="E444" s="15">
        <v>34.4</v>
      </c>
      <c r="F444" s="15"/>
      <c r="G444" s="15">
        <v>34.799999999999997</v>
      </c>
      <c r="H444" s="15"/>
      <c r="I444" s="15">
        <v>34</v>
      </c>
      <c r="J444" s="15"/>
      <c r="K444" s="15">
        <v>34</v>
      </c>
      <c r="L444" s="15"/>
      <c r="M444" s="15">
        <v>34</v>
      </c>
      <c r="N444" s="15"/>
      <c r="O444" s="15">
        <v>34</v>
      </c>
      <c r="P444" s="12"/>
    </row>
    <row r="445" spans="1:23" ht="15" customHeight="1" x14ac:dyDescent="0.25">
      <c r="A445" s="233"/>
      <c r="B445" s="14">
        <v>46153</v>
      </c>
      <c r="C445" s="12" t="s">
        <v>5</v>
      </c>
      <c r="D445" s="15">
        <v>34</v>
      </c>
      <c r="E445" s="15">
        <v>33.9</v>
      </c>
      <c r="F445" s="15">
        <v>33.9</v>
      </c>
      <c r="G445" s="15">
        <v>33.799999999999997</v>
      </c>
      <c r="H445" s="15">
        <v>33.799999999999997</v>
      </c>
      <c r="I445" s="15">
        <v>33.9</v>
      </c>
      <c r="J445" s="15">
        <v>33.9</v>
      </c>
      <c r="K445" s="15">
        <v>33.799999999999997</v>
      </c>
      <c r="L445" s="15">
        <v>33.799999999999997</v>
      </c>
      <c r="M445" s="15">
        <v>33.9</v>
      </c>
      <c r="N445" s="15">
        <v>34</v>
      </c>
      <c r="O445" s="15">
        <v>34</v>
      </c>
      <c r="P445" s="12"/>
    </row>
    <row r="446" spans="1:23" ht="15" customHeight="1" x14ac:dyDescent="0.25">
      <c r="A446" s="233"/>
      <c r="B446" s="14">
        <v>46154</v>
      </c>
      <c r="C446" s="12" t="s">
        <v>6</v>
      </c>
      <c r="D446" s="15">
        <v>34</v>
      </c>
      <c r="E446" s="15">
        <v>34.1</v>
      </c>
      <c r="F446" s="15">
        <v>34.1</v>
      </c>
      <c r="G446" s="15">
        <v>34.1</v>
      </c>
      <c r="H446" s="15">
        <v>34.299999999999997</v>
      </c>
      <c r="I446" s="15">
        <v>33.9</v>
      </c>
      <c r="J446" s="15">
        <v>33.9</v>
      </c>
      <c r="K446" s="15">
        <v>33.799999999999997</v>
      </c>
      <c r="L446" s="15">
        <v>33.9</v>
      </c>
      <c r="M446" s="15">
        <v>34</v>
      </c>
      <c r="N446" s="15">
        <v>34</v>
      </c>
      <c r="O446" s="15">
        <v>33.9</v>
      </c>
      <c r="P446" s="12"/>
    </row>
    <row r="447" spans="1:23" ht="15" customHeight="1" x14ac:dyDescent="0.25">
      <c r="A447" s="233"/>
      <c r="B447" s="14">
        <v>46155</v>
      </c>
      <c r="C447" s="12" t="s">
        <v>7</v>
      </c>
      <c r="D447" s="15">
        <v>34</v>
      </c>
      <c r="E447" s="15">
        <v>34.1</v>
      </c>
      <c r="F447" s="15">
        <v>34.1</v>
      </c>
      <c r="G447" s="15">
        <v>34.1</v>
      </c>
      <c r="H447" s="15">
        <v>34</v>
      </c>
      <c r="I447" s="15">
        <v>33.6</v>
      </c>
      <c r="J447" s="15">
        <v>33.200000000000003</v>
      </c>
      <c r="K447" s="15">
        <v>33</v>
      </c>
      <c r="L447" s="15">
        <v>32.799999999999997</v>
      </c>
      <c r="M447" s="15">
        <v>32.9</v>
      </c>
      <c r="N447" s="15">
        <v>33</v>
      </c>
      <c r="O447" s="15">
        <v>32.9</v>
      </c>
      <c r="P447" s="12"/>
    </row>
    <row r="448" spans="1:23" ht="15" customHeight="1" x14ac:dyDescent="0.25">
      <c r="A448" s="233"/>
      <c r="B448" s="14">
        <v>46156</v>
      </c>
      <c r="C448" s="12" t="s">
        <v>8</v>
      </c>
      <c r="D448" s="15">
        <v>32.799999999999997</v>
      </c>
      <c r="E448" s="15">
        <v>33</v>
      </c>
      <c r="F448" s="15">
        <v>33</v>
      </c>
      <c r="G448" s="15">
        <v>33.1</v>
      </c>
      <c r="H448" s="15">
        <v>33</v>
      </c>
      <c r="I448" s="15">
        <v>32.9</v>
      </c>
      <c r="J448" s="15">
        <v>33</v>
      </c>
      <c r="K448" s="15">
        <v>32.9</v>
      </c>
      <c r="L448" s="15">
        <v>32.799999999999997</v>
      </c>
      <c r="M448" s="15">
        <v>32.9</v>
      </c>
      <c r="N448" s="15">
        <v>32.9</v>
      </c>
      <c r="O448" s="15">
        <v>32.799999999999997</v>
      </c>
      <c r="P448" s="12"/>
    </row>
    <row r="449" spans="1:16" ht="15" customHeight="1" x14ac:dyDescent="0.25">
      <c r="A449" s="233"/>
      <c r="B449" s="14">
        <v>46157</v>
      </c>
      <c r="C449" s="12" t="s">
        <v>9</v>
      </c>
      <c r="D449" s="15">
        <v>33</v>
      </c>
      <c r="E449" s="15">
        <v>32.5</v>
      </c>
      <c r="F449" s="15">
        <v>32.299999999999997</v>
      </c>
      <c r="G449" s="15">
        <v>312.89999999999998</v>
      </c>
      <c r="H449" s="15">
        <v>32</v>
      </c>
      <c r="I449" s="15">
        <v>32</v>
      </c>
      <c r="J449" s="15">
        <v>31.8</v>
      </c>
      <c r="K449" s="15">
        <v>31.9</v>
      </c>
      <c r="L449" s="15">
        <v>31.9</v>
      </c>
      <c r="M449" s="15">
        <v>31.9</v>
      </c>
      <c r="N449" s="15">
        <v>31.9</v>
      </c>
      <c r="O449" s="15">
        <v>31.9</v>
      </c>
      <c r="P449" s="12"/>
    </row>
    <row r="450" spans="1:16" ht="15" customHeight="1" x14ac:dyDescent="0.25">
      <c r="A450" s="233"/>
      <c r="B450" s="14">
        <v>46158</v>
      </c>
      <c r="C450" s="12" t="s">
        <v>10</v>
      </c>
      <c r="D450" s="15">
        <v>31.9</v>
      </c>
      <c r="E450" s="15">
        <v>32.1</v>
      </c>
      <c r="F450" s="15">
        <v>32.1</v>
      </c>
      <c r="G450" s="15">
        <v>32.1</v>
      </c>
      <c r="H450" s="15">
        <v>32.299999999999997</v>
      </c>
      <c r="I450" s="15">
        <v>31.9</v>
      </c>
      <c r="J450" s="15">
        <v>32</v>
      </c>
      <c r="K450" s="15">
        <v>31.8</v>
      </c>
      <c r="L450" s="15">
        <v>32</v>
      </c>
      <c r="M450" s="15">
        <v>31.7</v>
      </c>
      <c r="N450" s="15">
        <v>32</v>
      </c>
      <c r="O450" s="15">
        <v>31.9</v>
      </c>
      <c r="P450" s="12"/>
    </row>
    <row r="451" spans="1:16" ht="15" customHeight="1" x14ac:dyDescent="0.25">
      <c r="A451" s="233"/>
      <c r="B451" s="14">
        <v>46159</v>
      </c>
      <c r="C451" s="12" t="s">
        <v>11</v>
      </c>
      <c r="D451" s="15">
        <v>32</v>
      </c>
      <c r="E451" s="15">
        <v>32</v>
      </c>
      <c r="F451" s="15">
        <v>32.1</v>
      </c>
      <c r="G451" s="15">
        <v>32.299999999999997</v>
      </c>
      <c r="H451" s="15">
        <v>32.6</v>
      </c>
      <c r="I451" s="15">
        <v>32</v>
      </c>
      <c r="J451" s="15">
        <v>31.5</v>
      </c>
      <c r="K451" s="15">
        <v>31.1</v>
      </c>
      <c r="L451" s="15">
        <v>30.8</v>
      </c>
      <c r="M451" s="15">
        <v>30.9</v>
      </c>
      <c r="N451" s="15">
        <v>31</v>
      </c>
      <c r="O451" s="15">
        <v>31.3</v>
      </c>
      <c r="P451" s="12"/>
    </row>
    <row r="452" spans="1:16" ht="15" customHeight="1" x14ac:dyDescent="0.25">
      <c r="A452" s="233"/>
      <c r="B452" s="14">
        <v>46160</v>
      </c>
      <c r="C452" s="12" t="s">
        <v>12</v>
      </c>
      <c r="D452" s="15">
        <v>31</v>
      </c>
      <c r="E452" s="15">
        <v>31</v>
      </c>
      <c r="F452" s="15">
        <v>31.4</v>
      </c>
      <c r="G452" s="15">
        <v>31.7</v>
      </c>
      <c r="H452" s="15">
        <v>31.7</v>
      </c>
      <c r="I452" s="15">
        <v>31.4</v>
      </c>
      <c r="J452" s="15">
        <v>31.2</v>
      </c>
      <c r="K452" s="15">
        <v>30.9</v>
      </c>
      <c r="L452" s="15">
        <v>30.7</v>
      </c>
      <c r="M452" s="15">
        <v>30.5</v>
      </c>
      <c r="N452" s="15">
        <v>30.2</v>
      </c>
      <c r="O452" s="15">
        <v>30</v>
      </c>
      <c r="P452" s="12"/>
    </row>
    <row r="453" spans="1:16" ht="15" customHeight="1" x14ac:dyDescent="0.25">
      <c r="A453" s="233"/>
      <c r="B453" s="14">
        <v>46161</v>
      </c>
      <c r="C453" s="12" t="s">
        <v>13</v>
      </c>
      <c r="D453" s="15">
        <v>30</v>
      </c>
      <c r="E453" s="15">
        <v>29.7</v>
      </c>
      <c r="F453" s="15">
        <v>30</v>
      </c>
      <c r="G453" s="15">
        <v>30.3</v>
      </c>
      <c r="H453" s="15">
        <v>30.4</v>
      </c>
      <c r="I453" s="15">
        <v>30.4</v>
      </c>
      <c r="J453" s="15">
        <v>30.3</v>
      </c>
      <c r="K453" s="15">
        <v>30.1</v>
      </c>
      <c r="L453" s="15">
        <v>29.9</v>
      </c>
      <c r="M453" s="15">
        <v>29</v>
      </c>
      <c r="N453" s="15">
        <v>929.9</v>
      </c>
      <c r="O453" s="15">
        <v>29.8</v>
      </c>
      <c r="P453" s="12"/>
    </row>
    <row r="454" spans="1:16" ht="15" customHeight="1" x14ac:dyDescent="0.25">
      <c r="A454" s="233"/>
      <c r="B454" s="14">
        <v>46162</v>
      </c>
      <c r="C454" s="12" t="s">
        <v>14</v>
      </c>
      <c r="D454" s="15">
        <v>30.6</v>
      </c>
      <c r="E454" s="15">
        <v>30.2</v>
      </c>
      <c r="F454" s="15">
        <v>30.2</v>
      </c>
      <c r="G454" s="15">
        <v>30.4</v>
      </c>
      <c r="H454" s="15">
        <v>30.5</v>
      </c>
      <c r="I454" s="15">
        <v>30.5</v>
      </c>
      <c r="J454" s="15">
        <v>30.5</v>
      </c>
      <c r="K454" s="15">
        <v>30.3</v>
      </c>
      <c r="L454" s="15">
        <v>30.1</v>
      </c>
      <c r="M454" s="15">
        <v>29.9</v>
      </c>
      <c r="N454" s="15">
        <v>30</v>
      </c>
      <c r="O454" s="15">
        <v>30</v>
      </c>
      <c r="P454" s="12"/>
    </row>
    <row r="455" spans="1:16" ht="15" customHeight="1" x14ac:dyDescent="0.25">
      <c r="A455" s="233"/>
      <c r="B455" s="14">
        <v>46163</v>
      </c>
      <c r="C455" s="12" t="s">
        <v>15</v>
      </c>
      <c r="D455" s="15">
        <v>29.9</v>
      </c>
      <c r="E455" s="15">
        <v>30.4</v>
      </c>
      <c r="F455" s="15">
        <v>30.7</v>
      </c>
      <c r="G455" s="15">
        <v>30.9</v>
      </c>
      <c r="H455" s="15">
        <v>31</v>
      </c>
      <c r="I455" s="15">
        <v>31</v>
      </c>
      <c r="J455" s="15">
        <v>30.9</v>
      </c>
      <c r="K455" s="15">
        <v>30.7</v>
      </c>
      <c r="L455" s="15">
        <v>30.4</v>
      </c>
      <c r="M455" s="15">
        <v>30</v>
      </c>
      <c r="N455" s="15">
        <v>30</v>
      </c>
      <c r="O455" s="15">
        <v>29.9</v>
      </c>
      <c r="P455" s="12"/>
    </row>
    <row r="456" spans="1:16" ht="15" customHeight="1" x14ac:dyDescent="0.25">
      <c r="A456" s="233"/>
      <c r="B456" s="14">
        <v>46164</v>
      </c>
      <c r="C456" s="12" t="s">
        <v>16</v>
      </c>
      <c r="D456" s="15">
        <v>29.9</v>
      </c>
      <c r="E456" s="15">
        <v>30.2</v>
      </c>
      <c r="F456" s="15">
        <v>30.5</v>
      </c>
      <c r="G456" s="15">
        <v>30.7</v>
      </c>
      <c r="H456" s="15">
        <v>31.1</v>
      </c>
      <c r="I456" s="15">
        <v>30.5</v>
      </c>
      <c r="J456" s="15">
        <v>30.3</v>
      </c>
      <c r="K456" s="15">
        <v>30</v>
      </c>
      <c r="L456" s="15">
        <v>29.9</v>
      </c>
      <c r="M456" s="15">
        <v>29.8</v>
      </c>
      <c r="N456" s="15">
        <v>30</v>
      </c>
      <c r="O456" s="15">
        <v>30.1</v>
      </c>
      <c r="P456" s="16"/>
    </row>
    <row r="457" spans="1:16" ht="15" customHeight="1" x14ac:dyDescent="0.25">
      <c r="A457" s="233"/>
      <c r="B457" s="14">
        <v>46165</v>
      </c>
      <c r="C457" s="12" t="s">
        <v>17</v>
      </c>
      <c r="D457" s="15">
        <v>29.8</v>
      </c>
      <c r="E457" s="15">
        <v>29.8</v>
      </c>
      <c r="F457" s="15">
        <v>29.8</v>
      </c>
      <c r="G457" s="15">
        <v>30</v>
      </c>
      <c r="H457" s="15">
        <v>30.2</v>
      </c>
      <c r="I457" s="15">
        <v>30.2</v>
      </c>
      <c r="J457" s="15">
        <v>30.1</v>
      </c>
      <c r="K457" s="15">
        <v>30</v>
      </c>
      <c r="L457" s="15">
        <v>30</v>
      </c>
      <c r="M457" s="15">
        <v>29.8</v>
      </c>
      <c r="N457" s="15">
        <v>29.9</v>
      </c>
      <c r="O457" s="15">
        <v>30</v>
      </c>
      <c r="P457" s="16"/>
    </row>
    <row r="458" spans="1:16" ht="15" customHeight="1" x14ac:dyDescent="0.25">
      <c r="A458" s="233"/>
      <c r="B458" s="14">
        <v>46166</v>
      </c>
      <c r="C458" s="17" t="s">
        <v>18</v>
      </c>
      <c r="D458" s="15">
        <v>29.9</v>
      </c>
      <c r="E458" s="15">
        <v>30</v>
      </c>
      <c r="F458" s="15">
        <v>29.9</v>
      </c>
      <c r="G458" s="15">
        <v>30</v>
      </c>
      <c r="H458" s="15">
        <v>30</v>
      </c>
      <c r="I458" s="15">
        <v>30</v>
      </c>
      <c r="J458" s="15">
        <v>30</v>
      </c>
      <c r="K458" s="15">
        <v>30</v>
      </c>
      <c r="L458" s="15">
        <v>29.9</v>
      </c>
      <c r="M458" s="15">
        <v>29.9</v>
      </c>
      <c r="N458" s="15">
        <v>29.8</v>
      </c>
      <c r="O458" s="15">
        <v>30</v>
      </c>
      <c r="P458" s="16"/>
    </row>
    <row r="459" spans="1:16" ht="15" customHeight="1" x14ac:dyDescent="0.25">
      <c r="A459" s="233"/>
      <c r="B459" s="14">
        <v>46167</v>
      </c>
      <c r="C459" s="17" t="s">
        <v>19</v>
      </c>
      <c r="D459" s="15">
        <v>30</v>
      </c>
      <c r="E459" s="15">
        <v>30.7</v>
      </c>
      <c r="F459" s="15">
        <v>30.4</v>
      </c>
      <c r="G459" s="15">
        <v>30.4</v>
      </c>
      <c r="H459" s="15">
        <v>30.9</v>
      </c>
      <c r="I459" s="15"/>
      <c r="J459" s="15"/>
      <c r="K459" s="15"/>
      <c r="L459" s="15"/>
      <c r="M459" s="15"/>
      <c r="N459" s="15"/>
      <c r="O459" s="15"/>
      <c r="P459" s="16"/>
    </row>
    <row r="460" spans="1:16" ht="15" customHeight="1" x14ac:dyDescent="0.25">
      <c r="A460" s="234"/>
      <c r="B460" s="14">
        <v>46168</v>
      </c>
      <c r="C460" s="17" t="s">
        <v>20</v>
      </c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6"/>
    </row>
    <row r="461" spans="1:16" x14ac:dyDescent="0.25">
      <c r="A461" s="232">
        <v>24</v>
      </c>
      <c r="B461" s="235" t="s">
        <v>0</v>
      </c>
      <c r="C461" s="235" t="s">
        <v>65</v>
      </c>
      <c r="D461" s="237" t="s">
        <v>1</v>
      </c>
      <c r="E461" s="238"/>
      <c r="F461" s="238"/>
      <c r="G461" s="238"/>
      <c r="H461" s="238"/>
      <c r="I461" s="238"/>
      <c r="J461" s="238"/>
      <c r="K461" s="238"/>
      <c r="L461" s="238"/>
      <c r="M461" s="238"/>
      <c r="N461" s="238"/>
      <c r="O461" s="239"/>
      <c r="P461" s="12" t="s">
        <v>2</v>
      </c>
    </row>
    <row r="462" spans="1:16" x14ac:dyDescent="0.25">
      <c r="A462" s="233"/>
      <c r="B462" s="236"/>
      <c r="C462" s="236"/>
      <c r="D462" s="13">
        <v>0.375</v>
      </c>
      <c r="E462" s="13">
        <v>0.45833333333333331</v>
      </c>
      <c r="F462" s="13">
        <v>0.54166666666666696</v>
      </c>
      <c r="G462" s="13">
        <v>0.625</v>
      </c>
      <c r="H462" s="13">
        <v>0.70833333333333304</v>
      </c>
      <c r="I462" s="13">
        <v>0.79166666666666696</v>
      </c>
      <c r="J462" s="13">
        <v>0.875</v>
      </c>
      <c r="K462" s="13">
        <v>0.95833333333333304</v>
      </c>
      <c r="L462" s="13">
        <v>1.0416666666666701</v>
      </c>
      <c r="M462" s="13">
        <v>1.125</v>
      </c>
      <c r="N462" s="13">
        <v>1.2083333333333299</v>
      </c>
      <c r="O462" s="13">
        <v>1.2916666666666601</v>
      </c>
      <c r="P462" s="12"/>
    </row>
    <row r="463" spans="1:16" x14ac:dyDescent="0.25">
      <c r="A463" s="233"/>
      <c r="B463" s="14">
        <v>46151</v>
      </c>
      <c r="C463" s="12" t="s">
        <v>3</v>
      </c>
      <c r="D463" s="15"/>
      <c r="E463" s="15"/>
      <c r="F463" s="15"/>
      <c r="G463" s="15"/>
      <c r="H463" s="15"/>
      <c r="I463" s="15">
        <v>33</v>
      </c>
      <c r="J463" s="15"/>
      <c r="K463" s="15">
        <v>33</v>
      </c>
      <c r="L463" s="15"/>
      <c r="M463" s="15">
        <v>33</v>
      </c>
      <c r="N463" s="15"/>
      <c r="O463" s="15">
        <v>32.6</v>
      </c>
      <c r="P463" s="16"/>
    </row>
    <row r="464" spans="1:16" x14ac:dyDescent="0.25">
      <c r="A464" s="233"/>
      <c r="B464" s="14">
        <v>46152</v>
      </c>
      <c r="C464" s="12" t="s">
        <v>4</v>
      </c>
      <c r="D464" s="15"/>
      <c r="E464" s="15">
        <v>33.799999999999997</v>
      </c>
      <c r="F464" s="15"/>
      <c r="G464" s="15">
        <v>33.799999999999997</v>
      </c>
      <c r="H464" s="15"/>
      <c r="I464" s="15">
        <v>33.700000000000003</v>
      </c>
      <c r="J464" s="15"/>
      <c r="K464" s="15">
        <v>33.9</v>
      </c>
      <c r="L464" s="15"/>
      <c r="M464" s="15">
        <v>33.700000000000003</v>
      </c>
      <c r="N464" s="15"/>
      <c r="O464" s="15">
        <v>33.6</v>
      </c>
      <c r="P464" s="12"/>
    </row>
    <row r="465" spans="1:16" x14ac:dyDescent="0.25">
      <c r="A465" s="233"/>
      <c r="B465" s="14">
        <v>46153</v>
      </c>
      <c r="C465" s="12" t="s">
        <v>5</v>
      </c>
      <c r="D465" s="15">
        <v>34</v>
      </c>
      <c r="E465" s="15">
        <v>33.799999999999997</v>
      </c>
      <c r="F465" s="15">
        <v>33.799999999999997</v>
      </c>
      <c r="G465" s="15">
        <v>33.6</v>
      </c>
      <c r="H465" s="15">
        <v>33.799999999999997</v>
      </c>
      <c r="I465" s="15">
        <v>33.799999999999997</v>
      </c>
      <c r="J465" s="15">
        <v>33.799999999999997</v>
      </c>
      <c r="K465" s="15">
        <v>33.700000000000003</v>
      </c>
      <c r="L465" s="15">
        <v>33.5</v>
      </c>
      <c r="M465" s="15">
        <v>33.9</v>
      </c>
      <c r="N465" s="15">
        <v>33.6</v>
      </c>
      <c r="O465" s="15">
        <v>33.799999999999997</v>
      </c>
      <c r="P465" s="12"/>
    </row>
    <row r="466" spans="1:16" x14ac:dyDescent="0.25">
      <c r="A466" s="233"/>
      <c r="B466" s="14">
        <v>46154</v>
      </c>
      <c r="C466" s="12" t="s">
        <v>6</v>
      </c>
      <c r="D466" s="15">
        <v>33.5</v>
      </c>
      <c r="E466" s="15">
        <v>33.9</v>
      </c>
      <c r="F466" s="15">
        <v>34.1</v>
      </c>
      <c r="G466" s="15">
        <v>34.200000000000003</v>
      </c>
      <c r="H466" s="15">
        <v>34.1</v>
      </c>
      <c r="I466" s="15">
        <v>34</v>
      </c>
      <c r="J466" s="15">
        <v>34</v>
      </c>
      <c r="K466" s="15">
        <v>33.799999999999997</v>
      </c>
      <c r="L466" s="15">
        <v>33.700000000000003</v>
      </c>
      <c r="M466" s="15">
        <v>33.9</v>
      </c>
      <c r="N466" s="15">
        <v>33.700000000000003</v>
      </c>
      <c r="O466" s="15">
        <v>34</v>
      </c>
      <c r="P466" s="12"/>
    </row>
    <row r="467" spans="1:16" x14ac:dyDescent="0.25">
      <c r="A467" s="233"/>
      <c r="B467" s="14">
        <v>46155</v>
      </c>
      <c r="C467" s="12" t="s">
        <v>7</v>
      </c>
      <c r="D467" s="15">
        <v>33.9</v>
      </c>
      <c r="E467" s="15">
        <v>33.799999999999997</v>
      </c>
      <c r="F467" s="15">
        <v>33.700000000000003</v>
      </c>
      <c r="G467" s="15">
        <v>33.799999999999997</v>
      </c>
      <c r="H467" s="15">
        <v>33.799999999999997</v>
      </c>
      <c r="I467" s="15">
        <v>33.799999999999997</v>
      </c>
      <c r="J467" s="15">
        <v>33.5</v>
      </c>
      <c r="K467" s="15">
        <v>33.1</v>
      </c>
      <c r="L467" s="15">
        <v>32.700000000000003</v>
      </c>
      <c r="M467" s="15">
        <v>33</v>
      </c>
      <c r="N467" s="15">
        <v>32.700000000000003</v>
      </c>
      <c r="O467" s="15">
        <v>33</v>
      </c>
      <c r="P467" s="12"/>
    </row>
    <row r="468" spans="1:16" x14ac:dyDescent="0.25">
      <c r="A468" s="233"/>
      <c r="B468" s="14">
        <v>46156</v>
      </c>
      <c r="C468" s="12" t="s">
        <v>8</v>
      </c>
      <c r="D468" s="15">
        <v>32.799999999999997</v>
      </c>
      <c r="E468" s="15">
        <v>33</v>
      </c>
      <c r="F468" s="15">
        <v>33</v>
      </c>
      <c r="G468" s="15">
        <v>33.1</v>
      </c>
      <c r="H468" s="15">
        <v>32.799999999999997</v>
      </c>
      <c r="I468" s="15">
        <v>32.799999999999997</v>
      </c>
      <c r="J468" s="15">
        <v>33</v>
      </c>
      <c r="K468" s="15">
        <v>32.6</v>
      </c>
      <c r="L468" s="15">
        <v>32.799999999999997</v>
      </c>
      <c r="M468" s="15">
        <v>32.799999999999997</v>
      </c>
      <c r="N468" s="15">
        <v>32.799999999999997</v>
      </c>
      <c r="O468" s="15">
        <v>32.700000000000003</v>
      </c>
      <c r="P468" s="12"/>
    </row>
    <row r="469" spans="1:16" x14ac:dyDescent="0.25">
      <c r="A469" s="233"/>
      <c r="B469" s="14">
        <v>46157</v>
      </c>
      <c r="C469" s="12" t="s">
        <v>9</v>
      </c>
      <c r="D469" s="15">
        <v>32.700000000000003</v>
      </c>
      <c r="E469" s="15">
        <v>32.9</v>
      </c>
      <c r="F469" s="15">
        <v>32.5</v>
      </c>
      <c r="G469" s="15">
        <v>32.299999999999997</v>
      </c>
      <c r="H469" s="15">
        <v>32</v>
      </c>
      <c r="I469" s="15">
        <v>31.7</v>
      </c>
      <c r="J469" s="15">
        <v>31.9</v>
      </c>
      <c r="K469" s="15">
        <v>31.8</v>
      </c>
      <c r="L469" s="15">
        <v>312.7</v>
      </c>
      <c r="M469" s="15">
        <v>31.8</v>
      </c>
      <c r="N469" s="15">
        <v>31.9</v>
      </c>
      <c r="O469" s="15">
        <v>31.9</v>
      </c>
      <c r="P469" s="12"/>
    </row>
    <row r="470" spans="1:16" x14ac:dyDescent="0.25">
      <c r="A470" s="233"/>
      <c r="B470" s="14">
        <v>46158</v>
      </c>
      <c r="C470" s="12" t="s">
        <v>10</v>
      </c>
      <c r="D470" s="15">
        <v>31.9</v>
      </c>
      <c r="E470" s="15">
        <v>31.8</v>
      </c>
      <c r="F470" s="15">
        <v>31.8</v>
      </c>
      <c r="G470" s="15">
        <v>31.9</v>
      </c>
      <c r="H470" s="15">
        <v>32.1</v>
      </c>
      <c r="I470" s="15">
        <v>32</v>
      </c>
      <c r="J470" s="15">
        <v>31.6</v>
      </c>
      <c r="K470" s="15">
        <v>31.9</v>
      </c>
      <c r="L470" s="15">
        <v>31.9</v>
      </c>
      <c r="M470" s="15">
        <v>31.6</v>
      </c>
      <c r="N470" s="15">
        <v>31.8</v>
      </c>
      <c r="O470" s="15">
        <v>31.7</v>
      </c>
      <c r="P470" s="12"/>
    </row>
    <row r="471" spans="1:16" x14ac:dyDescent="0.25">
      <c r="A471" s="233"/>
      <c r="B471" s="14">
        <v>46159</v>
      </c>
      <c r="C471" s="12" t="s">
        <v>11</v>
      </c>
      <c r="D471" s="15">
        <v>31.8</v>
      </c>
      <c r="E471" s="15">
        <v>31.8</v>
      </c>
      <c r="F471" s="15">
        <v>31.9</v>
      </c>
      <c r="G471" s="15">
        <v>32.200000000000003</v>
      </c>
      <c r="H471" s="15">
        <v>32</v>
      </c>
      <c r="I471" s="15">
        <v>31.8</v>
      </c>
      <c r="J471" s="15">
        <v>32.4</v>
      </c>
      <c r="K471" s="15">
        <v>31</v>
      </c>
      <c r="L471" s="15">
        <v>30.9</v>
      </c>
      <c r="M471" s="15">
        <v>31</v>
      </c>
      <c r="N471" s="15">
        <v>30.6</v>
      </c>
      <c r="O471" s="15">
        <v>30.8</v>
      </c>
      <c r="P471" s="12"/>
    </row>
    <row r="472" spans="1:16" x14ac:dyDescent="0.25">
      <c r="A472" s="233"/>
      <c r="B472" s="14">
        <v>46160</v>
      </c>
      <c r="C472" s="12" t="s">
        <v>12</v>
      </c>
      <c r="D472" s="15">
        <v>30.8</v>
      </c>
      <c r="E472" s="15">
        <v>30.6</v>
      </c>
      <c r="F472" s="15">
        <v>31</v>
      </c>
      <c r="G472" s="15">
        <v>31.2</v>
      </c>
      <c r="H472" s="15">
        <v>31.6</v>
      </c>
      <c r="I472" s="15">
        <v>31.5</v>
      </c>
      <c r="J472" s="15">
        <v>31.3</v>
      </c>
      <c r="K472" s="15">
        <v>31</v>
      </c>
      <c r="L472" s="15">
        <v>30.8</v>
      </c>
      <c r="M472" s="15">
        <v>30.6</v>
      </c>
      <c r="N472" s="15">
        <v>30.3</v>
      </c>
      <c r="O472" s="15">
        <v>30</v>
      </c>
      <c r="P472" s="12"/>
    </row>
    <row r="473" spans="1:16" x14ac:dyDescent="0.25">
      <c r="A473" s="233"/>
      <c r="B473" s="14">
        <v>46161</v>
      </c>
      <c r="C473" s="12" t="s">
        <v>13</v>
      </c>
      <c r="D473" s="15">
        <v>30</v>
      </c>
      <c r="E473" s="15">
        <v>30</v>
      </c>
      <c r="F473" s="15">
        <v>30.1</v>
      </c>
      <c r="G473" s="15">
        <v>30.3</v>
      </c>
      <c r="H473" s="15">
        <v>30.5</v>
      </c>
      <c r="I473" s="15">
        <v>30.5</v>
      </c>
      <c r="J473" s="15">
        <v>30.4</v>
      </c>
      <c r="K473" s="15">
        <v>30.3</v>
      </c>
      <c r="L473" s="15">
        <v>29.8</v>
      </c>
      <c r="M473" s="15">
        <v>29.8</v>
      </c>
      <c r="N473" s="15">
        <v>29.6</v>
      </c>
      <c r="O473" s="15">
        <v>29.8</v>
      </c>
      <c r="P473" s="12" t="s">
        <v>333</v>
      </c>
    </row>
    <row r="474" spans="1:16" x14ac:dyDescent="0.25">
      <c r="A474" s="233"/>
      <c r="B474" s="14">
        <v>46162</v>
      </c>
      <c r="C474" s="12" t="s">
        <v>14</v>
      </c>
      <c r="D474" s="15">
        <v>30.2</v>
      </c>
      <c r="E474" s="15">
        <v>30.2</v>
      </c>
      <c r="F474" s="15">
        <v>30.2</v>
      </c>
      <c r="G474" s="15">
        <v>30.3</v>
      </c>
      <c r="H474" s="15">
        <v>30.4</v>
      </c>
      <c r="I474" s="15">
        <v>30.4</v>
      </c>
      <c r="J474" s="15">
        <v>30.4</v>
      </c>
      <c r="K474" s="15">
        <v>30.3</v>
      </c>
      <c r="L474" s="15">
        <v>30.1</v>
      </c>
      <c r="M474" s="15">
        <v>29.9</v>
      </c>
      <c r="N474" s="15">
        <v>29.7</v>
      </c>
      <c r="O474" s="15">
        <v>29.7</v>
      </c>
      <c r="P474" s="12"/>
    </row>
    <row r="475" spans="1:16" x14ac:dyDescent="0.25">
      <c r="A475" s="233"/>
      <c r="B475" s="14">
        <v>46163</v>
      </c>
      <c r="C475" s="12" t="s">
        <v>15</v>
      </c>
      <c r="D475" s="15">
        <v>29.6</v>
      </c>
      <c r="E475" s="15">
        <v>29.6</v>
      </c>
      <c r="F475" s="15">
        <v>30</v>
      </c>
      <c r="G475" s="15">
        <v>30.2</v>
      </c>
      <c r="H475" s="15">
        <v>30.4</v>
      </c>
      <c r="I475" s="15">
        <v>30.4</v>
      </c>
      <c r="J475" s="15">
        <v>30.4</v>
      </c>
      <c r="K475" s="15">
        <v>30.2</v>
      </c>
      <c r="L475" s="15">
        <v>30</v>
      </c>
      <c r="M475" s="15">
        <v>29.8</v>
      </c>
      <c r="N475" s="15">
        <v>29.6</v>
      </c>
      <c r="O475" s="15">
        <v>29.9</v>
      </c>
      <c r="P475" s="12"/>
    </row>
    <row r="476" spans="1:16" x14ac:dyDescent="0.25">
      <c r="A476" s="233"/>
      <c r="B476" s="14">
        <v>46164</v>
      </c>
      <c r="C476" s="12" t="s">
        <v>16</v>
      </c>
      <c r="D476" s="15">
        <v>29.6</v>
      </c>
      <c r="E476" s="15">
        <v>29.7</v>
      </c>
      <c r="F476" s="15">
        <v>30.2</v>
      </c>
      <c r="G476" s="15">
        <v>30.2</v>
      </c>
      <c r="H476" s="15">
        <v>30.4</v>
      </c>
      <c r="I476" s="15">
        <v>30.4</v>
      </c>
      <c r="J476" s="15">
        <v>30.3</v>
      </c>
      <c r="K476" s="15">
        <v>30</v>
      </c>
      <c r="L476" s="15">
        <v>29.8</v>
      </c>
      <c r="M476" s="15">
        <v>29.6</v>
      </c>
      <c r="N476" s="15">
        <v>29.9</v>
      </c>
      <c r="O476" s="15">
        <v>29.6</v>
      </c>
      <c r="P476" s="16"/>
    </row>
    <row r="477" spans="1:16" x14ac:dyDescent="0.25">
      <c r="A477" s="233"/>
      <c r="B477" s="14">
        <v>46165</v>
      </c>
      <c r="C477" s="12" t="s">
        <v>17</v>
      </c>
      <c r="D477" s="15">
        <v>29.6</v>
      </c>
      <c r="E477" s="15">
        <v>29.6</v>
      </c>
      <c r="F477" s="15">
        <v>29.6</v>
      </c>
      <c r="G477" s="15">
        <v>29.7</v>
      </c>
      <c r="H477" s="15">
        <v>29.8</v>
      </c>
      <c r="I477" s="15">
        <v>30</v>
      </c>
      <c r="J477" s="15">
        <v>29.8</v>
      </c>
      <c r="K477" s="15">
        <v>29.8</v>
      </c>
      <c r="L477" s="15">
        <v>29.6</v>
      </c>
      <c r="M477" s="15">
        <v>29.7</v>
      </c>
      <c r="N477" s="15">
        <v>29.9</v>
      </c>
      <c r="O477" s="15">
        <v>30</v>
      </c>
      <c r="P477" s="16"/>
    </row>
    <row r="478" spans="1:16" x14ac:dyDescent="0.25">
      <c r="A478" s="233"/>
      <c r="B478" s="14">
        <v>46166</v>
      </c>
      <c r="C478" s="17" t="s">
        <v>18</v>
      </c>
      <c r="D478" s="15">
        <v>29.6</v>
      </c>
      <c r="E478" s="15">
        <v>29.6</v>
      </c>
      <c r="F478" s="15">
        <v>29.6</v>
      </c>
      <c r="G478" s="15">
        <v>30</v>
      </c>
      <c r="H478" s="15">
        <v>30</v>
      </c>
      <c r="I478" s="15">
        <v>30</v>
      </c>
      <c r="J478" s="15">
        <v>29.9</v>
      </c>
      <c r="K478" s="15">
        <v>29.9</v>
      </c>
      <c r="L478" s="15">
        <v>29.8</v>
      </c>
      <c r="M478" s="15">
        <v>29.6</v>
      </c>
      <c r="N478" s="15">
        <v>29.6</v>
      </c>
      <c r="O478" s="15">
        <v>29.6</v>
      </c>
      <c r="P478" s="16"/>
    </row>
    <row r="479" spans="1:16" x14ac:dyDescent="0.25">
      <c r="A479" s="233"/>
      <c r="B479" s="14">
        <v>46167</v>
      </c>
      <c r="C479" s="17" t="s">
        <v>19</v>
      </c>
      <c r="D479" s="15">
        <v>29.6</v>
      </c>
      <c r="E479" s="15">
        <v>29.6</v>
      </c>
      <c r="F479" s="15">
        <v>30</v>
      </c>
      <c r="G479" s="15">
        <v>30.2</v>
      </c>
      <c r="H479" s="15">
        <v>30.3</v>
      </c>
      <c r="I479" s="15"/>
      <c r="J479" s="15"/>
      <c r="K479" s="15"/>
      <c r="L479" s="15"/>
      <c r="M479" s="15"/>
      <c r="N479" s="15"/>
      <c r="O479" s="15"/>
      <c r="P479" s="16"/>
    </row>
    <row r="480" spans="1:16" x14ac:dyDescent="0.25">
      <c r="A480" s="234"/>
      <c r="B480" s="14">
        <v>46168</v>
      </c>
      <c r="C480" s="17" t="s">
        <v>20</v>
      </c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6"/>
    </row>
  </sheetData>
  <mergeCells count="96">
    <mergeCell ref="A461:A480"/>
    <mergeCell ref="B461:B462"/>
    <mergeCell ref="C461:C462"/>
    <mergeCell ref="D461:O461"/>
    <mergeCell ref="A441:A460"/>
    <mergeCell ref="B441:B442"/>
    <mergeCell ref="C441:C442"/>
    <mergeCell ref="D441:O441"/>
    <mergeCell ref="A401:A420"/>
    <mergeCell ref="B401:B402"/>
    <mergeCell ref="C401:C402"/>
    <mergeCell ref="D401:O401"/>
    <mergeCell ref="A421:A440"/>
    <mergeCell ref="B421:B422"/>
    <mergeCell ref="C421:C422"/>
    <mergeCell ref="D421:O421"/>
    <mergeCell ref="A381:A400"/>
    <mergeCell ref="B381:B382"/>
    <mergeCell ref="C381:C382"/>
    <mergeCell ref="D381:O381"/>
    <mergeCell ref="A341:A360"/>
    <mergeCell ref="B341:B342"/>
    <mergeCell ref="C341:C342"/>
    <mergeCell ref="D341:O341"/>
    <mergeCell ref="A361:A380"/>
    <mergeCell ref="B361:B362"/>
    <mergeCell ref="C361:C362"/>
    <mergeCell ref="D361:O361"/>
    <mergeCell ref="A301:A320"/>
    <mergeCell ref="B301:B302"/>
    <mergeCell ref="C301:C302"/>
    <mergeCell ref="D301:O301"/>
    <mergeCell ref="A321:A340"/>
    <mergeCell ref="B321:B322"/>
    <mergeCell ref="C321:C322"/>
    <mergeCell ref="D321:O321"/>
    <mergeCell ref="A261:A280"/>
    <mergeCell ref="B261:B262"/>
    <mergeCell ref="C261:C262"/>
    <mergeCell ref="D261:O261"/>
    <mergeCell ref="A281:A300"/>
    <mergeCell ref="B281:B282"/>
    <mergeCell ref="C281:C282"/>
    <mergeCell ref="D281:O281"/>
    <mergeCell ref="A221:A240"/>
    <mergeCell ref="B221:B222"/>
    <mergeCell ref="C221:C222"/>
    <mergeCell ref="D221:O221"/>
    <mergeCell ref="A241:A260"/>
    <mergeCell ref="B241:B242"/>
    <mergeCell ref="C241:C242"/>
    <mergeCell ref="D241:O241"/>
    <mergeCell ref="A181:A200"/>
    <mergeCell ref="B181:B182"/>
    <mergeCell ref="C181:C182"/>
    <mergeCell ref="D181:O181"/>
    <mergeCell ref="A201:A220"/>
    <mergeCell ref="B201:B202"/>
    <mergeCell ref="C201:C202"/>
    <mergeCell ref="D201:O201"/>
    <mergeCell ref="A141:A160"/>
    <mergeCell ref="B141:B142"/>
    <mergeCell ref="C141:C142"/>
    <mergeCell ref="D141:O141"/>
    <mergeCell ref="A161:A180"/>
    <mergeCell ref="B161:B162"/>
    <mergeCell ref="C161:C162"/>
    <mergeCell ref="D161:O161"/>
    <mergeCell ref="A101:A120"/>
    <mergeCell ref="B101:B102"/>
    <mergeCell ref="C101:C102"/>
    <mergeCell ref="D101:O101"/>
    <mergeCell ref="A121:A140"/>
    <mergeCell ref="B121:B122"/>
    <mergeCell ref="C121:C122"/>
    <mergeCell ref="D121:O121"/>
    <mergeCell ref="A61:A80"/>
    <mergeCell ref="B61:B62"/>
    <mergeCell ref="C61:C62"/>
    <mergeCell ref="D61:O61"/>
    <mergeCell ref="A81:A100"/>
    <mergeCell ref="B81:B82"/>
    <mergeCell ref="C81:C82"/>
    <mergeCell ref="D81:O81"/>
    <mergeCell ref="A41:A60"/>
    <mergeCell ref="B41:B42"/>
    <mergeCell ref="C41:C42"/>
    <mergeCell ref="D41:O41"/>
    <mergeCell ref="A1:A20"/>
    <mergeCell ref="B1:B2"/>
    <mergeCell ref="C1:C2"/>
    <mergeCell ref="D1:O1"/>
    <mergeCell ref="A21:A40"/>
    <mergeCell ref="B21:B22"/>
    <mergeCell ref="C21:C22"/>
    <mergeCell ref="D21:O21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3A92-0CEB-4E30-BA70-97E0C416B4E3}">
  <dimension ref="A1:G23"/>
  <sheetViews>
    <sheetView workbookViewId="0">
      <selection activeCell="H15" sqref="H15"/>
    </sheetView>
  </sheetViews>
  <sheetFormatPr defaultRowHeight="15" x14ac:dyDescent="0.25"/>
  <cols>
    <col min="5" max="6" width="9.85546875" bestFit="1" customWidth="1"/>
  </cols>
  <sheetData>
    <row r="1" spans="1:7" ht="18.75" x14ac:dyDescent="0.3">
      <c r="A1" s="184" t="s">
        <v>211</v>
      </c>
      <c r="B1" s="184"/>
      <c r="C1" s="184"/>
      <c r="E1" s="184"/>
      <c r="F1" s="184"/>
      <c r="G1" s="184"/>
    </row>
    <row r="2" spans="1:7" ht="54" x14ac:dyDescent="0.3">
      <c r="A2" s="185" t="s">
        <v>23</v>
      </c>
      <c r="B2" s="185" t="s">
        <v>24</v>
      </c>
      <c r="C2" s="186" t="s">
        <v>25</v>
      </c>
      <c r="D2" s="186" t="s">
        <v>26</v>
      </c>
      <c r="E2" s="187">
        <v>21</v>
      </c>
      <c r="F2" s="187">
        <v>22</v>
      </c>
      <c r="G2" s="184"/>
    </row>
    <row r="3" spans="1:7" ht="18.75" x14ac:dyDescent="0.3">
      <c r="A3" s="188">
        <v>3</v>
      </c>
      <c r="B3" s="188">
        <v>2</v>
      </c>
      <c r="C3" s="189" t="s">
        <v>212</v>
      </c>
      <c r="D3" s="189" t="s">
        <v>88</v>
      </c>
      <c r="E3" s="190">
        <v>13666</v>
      </c>
      <c r="F3" s="190">
        <v>14666</v>
      </c>
      <c r="G3" s="184"/>
    </row>
    <row r="4" spans="1:7" ht="18.75" x14ac:dyDescent="0.3">
      <c r="A4" s="188">
        <v>5</v>
      </c>
      <c r="B4" s="188">
        <v>3</v>
      </c>
      <c r="C4" s="189" t="s">
        <v>213</v>
      </c>
      <c r="D4" s="189" t="s">
        <v>89</v>
      </c>
      <c r="E4" s="190">
        <v>13000</v>
      </c>
      <c r="F4" s="190">
        <v>14333</v>
      </c>
      <c r="G4" s="184"/>
    </row>
    <row r="5" spans="1:7" ht="18.75" x14ac:dyDescent="0.3">
      <c r="A5" s="188">
        <v>8</v>
      </c>
      <c r="B5" s="188">
        <v>8</v>
      </c>
      <c r="C5" s="189" t="s">
        <v>214</v>
      </c>
      <c r="D5" s="189" t="s">
        <v>92</v>
      </c>
      <c r="E5" s="190">
        <v>15000</v>
      </c>
      <c r="F5" s="190">
        <v>14000</v>
      </c>
      <c r="G5" s="184"/>
    </row>
    <row r="6" spans="1:7" ht="18.75" x14ac:dyDescent="0.3">
      <c r="A6" s="188">
        <v>9</v>
      </c>
      <c r="B6" s="188">
        <v>11</v>
      </c>
      <c r="C6" s="189" t="s">
        <v>215</v>
      </c>
      <c r="D6" s="189" t="s">
        <v>124</v>
      </c>
      <c r="E6" s="190">
        <v>14333</v>
      </c>
      <c r="F6" s="190">
        <v>14500</v>
      </c>
      <c r="G6" s="184"/>
    </row>
    <row r="7" spans="1:7" ht="18.75" x14ac:dyDescent="0.3">
      <c r="A7" s="188">
        <v>10</v>
      </c>
      <c r="B7" s="188">
        <v>12</v>
      </c>
      <c r="C7" s="189" t="s">
        <v>115</v>
      </c>
      <c r="D7" s="189" t="s">
        <v>91</v>
      </c>
      <c r="E7" s="190">
        <v>14666</v>
      </c>
      <c r="F7" s="190">
        <v>13666</v>
      </c>
      <c r="G7" s="184"/>
    </row>
    <row r="8" spans="1:7" ht="18.75" x14ac:dyDescent="0.3">
      <c r="A8" s="188">
        <v>11</v>
      </c>
      <c r="B8" s="188">
        <v>13</v>
      </c>
      <c r="C8" s="189" t="s">
        <v>216</v>
      </c>
      <c r="D8" s="189" t="s">
        <v>217</v>
      </c>
      <c r="E8" s="190">
        <v>13666</v>
      </c>
      <c r="F8" s="190">
        <v>13666</v>
      </c>
      <c r="G8" s="184"/>
    </row>
    <row r="9" spans="1:7" ht="18.75" x14ac:dyDescent="0.3">
      <c r="A9" s="188">
        <v>16</v>
      </c>
      <c r="B9" s="188">
        <v>3</v>
      </c>
      <c r="C9" s="189" t="s">
        <v>109</v>
      </c>
      <c r="D9" s="189" t="s">
        <v>89</v>
      </c>
      <c r="E9" s="190">
        <v>14333</v>
      </c>
      <c r="F9" s="190">
        <v>14000</v>
      </c>
      <c r="G9" s="184"/>
    </row>
    <row r="10" spans="1:7" ht="18.75" x14ac:dyDescent="0.3">
      <c r="A10" s="184"/>
      <c r="B10" s="184"/>
      <c r="C10" s="184"/>
      <c r="D10" s="184"/>
      <c r="E10" s="184">
        <f>SUM(E3:E9)</f>
        <v>98664</v>
      </c>
      <c r="F10" s="184">
        <f>SUM(F3:F9)</f>
        <v>98831</v>
      </c>
      <c r="G10" s="184"/>
    </row>
    <row r="11" spans="1:7" ht="18.75" x14ac:dyDescent="0.3">
      <c r="A11" s="184"/>
      <c r="B11" s="184"/>
      <c r="C11" s="184"/>
      <c r="D11" s="184"/>
      <c r="E11" s="184"/>
      <c r="F11" s="184"/>
      <c r="G11" s="184"/>
    </row>
    <row r="12" spans="1:7" ht="18.75" x14ac:dyDescent="0.3">
      <c r="A12" s="184"/>
      <c r="B12" s="184"/>
      <c r="C12" s="184"/>
      <c r="D12" s="184"/>
      <c r="E12" s="184"/>
      <c r="F12" s="184"/>
      <c r="G12" s="184"/>
    </row>
    <row r="13" spans="1:7" ht="18.75" x14ac:dyDescent="0.3">
      <c r="A13" s="184" t="s">
        <v>218</v>
      </c>
      <c r="B13" s="184"/>
      <c r="C13" s="184"/>
      <c r="D13" s="184"/>
      <c r="E13" s="184"/>
      <c r="F13" s="184"/>
      <c r="G13" s="184"/>
    </row>
    <row r="14" spans="1:7" ht="54" x14ac:dyDescent="0.3">
      <c r="A14" s="185" t="s">
        <v>23</v>
      </c>
      <c r="B14" s="185" t="s">
        <v>24</v>
      </c>
      <c r="C14" s="186" t="s">
        <v>25</v>
      </c>
      <c r="D14" s="186" t="s">
        <v>26</v>
      </c>
      <c r="E14" s="187">
        <v>23</v>
      </c>
      <c r="F14" s="187">
        <v>24</v>
      </c>
      <c r="G14" s="184"/>
    </row>
    <row r="15" spans="1:7" ht="18.75" x14ac:dyDescent="0.3">
      <c r="A15" s="191">
        <v>1</v>
      </c>
      <c r="B15" s="191">
        <v>1</v>
      </c>
      <c r="C15" s="192" t="s">
        <v>219</v>
      </c>
      <c r="D15" s="192" t="s">
        <v>87</v>
      </c>
      <c r="E15" s="190">
        <v>11500</v>
      </c>
      <c r="F15" s="190">
        <v>13000</v>
      </c>
      <c r="G15" s="184"/>
    </row>
    <row r="16" spans="1:7" ht="18.75" x14ac:dyDescent="0.3">
      <c r="A16" s="191">
        <v>2</v>
      </c>
      <c r="B16" s="191">
        <v>1</v>
      </c>
      <c r="C16" s="192" t="s">
        <v>220</v>
      </c>
      <c r="D16" s="192" t="s">
        <v>87</v>
      </c>
      <c r="E16" s="190">
        <v>13000</v>
      </c>
      <c r="F16" s="190">
        <v>13000</v>
      </c>
      <c r="G16" s="184"/>
    </row>
    <row r="17" spans="1:7" ht="18.75" x14ac:dyDescent="0.3">
      <c r="A17" s="191">
        <v>4</v>
      </c>
      <c r="B17" s="191">
        <v>2</v>
      </c>
      <c r="C17" s="192" t="s">
        <v>116</v>
      </c>
      <c r="D17" s="192" t="s">
        <v>88</v>
      </c>
      <c r="E17" s="190">
        <v>13000</v>
      </c>
      <c r="F17" s="190">
        <v>13333</v>
      </c>
      <c r="G17" s="184"/>
    </row>
    <row r="18" spans="1:7" ht="18.75" x14ac:dyDescent="0.3">
      <c r="A18" s="191">
        <v>6</v>
      </c>
      <c r="B18" s="191">
        <v>4</v>
      </c>
      <c r="C18" s="192" t="s">
        <v>221</v>
      </c>
      <c r="D18" s="192" t="s">
        <v>90</v>
      </c>
      <c r="E18" s="190">
        <v>13333</v>
      </c>
      <c r="F18" s="190">
        <v>13000</v>
      </c>
      <c r="G18" s="184"/>
    </row>
    <row r="19" spans="1:7" ht="18.75" x14ac:dyDescent="0.3">
      <c r="A19" s="191">
        <v>7</v>
      </c>
      <c r="B19" s="191">
        <v>5</v>
      </c>
      <c r="C19" s="192" t="s">
        <v>222</v>
      </c>
      <c r="D19" s="192" t="s">
        <v>223</v>
      </c>
      <c r="E19" s="190">
        <v>12500</v>
      </c>
      <c r="F19" s="190">
        <v>12500</v>
      </c>
      <c r="G19" s="184"/>
    </row>
    <row r="20" spans="1:7" ht="18.75" x14ac:dyDescent="0.3">
      <c r="A20" s="191">
        <v>12</v>
      </c>
      <c r="B20" s="191">
        <v>15</v>
      </c>
      <c r="C20" s="192" t="s">
        <v>224</v>
      </c>
      <c r="D20" s="192" t="s">
        <v>225</v>
      </c>
      <c r="E20" s="190">
        <v>13000</v>
      </c>
      <c r="F20" s="190">
        <v>13500</v>
      </c>
      <c r="G20" s="184"/>
    </row>
    <row r="21" spans="1:7" ht="18.75" x14ac:dyDescent="0.3">
      <c r="A21" s="191">
        <v>13</v>
      </c>
      <c r="B21" s="191">
        <v>16</v>
      </c>
      <c r="C21" s="192" t="s">
        <v>226</v>
      </c>
      <c r="D21" s="192" t="s">
        <v>227</v>
      </c>
      <c r="E21" s="190">
        <v>12000</v>
      </c>
      <c r="F21" s="190">
        <v>12500</v>
      </c>
      <c r="G21" s="184"/>
    </row>
    <row r="22" spans="1:7" ht="18.75" x14ac:dyDescent="0.3">
      <c r="A22" s="191">
        <v>14</v>
      </c>
      <c r="B22" s="191">
        <v>1</v>
      </c>
      <c r="C22" s="192" t="s">
        <v>228</v>
      </c>
      <c r="D22" s="192" t="s">
        <v>87</v>
      </c>
      <c r="E22" s="190">
        <v>12333</v>
      </c>
      <c r="F22" s="190">
        <v>12000</v>
      </c>
      <c r="G22" s="184"/>
    </row>
    <row r="23" spans="1:7" ht="18.75" x14ac:dyDescent="0.3">
      <c r="A23" s="184"/>
      <c r="B23" s="184"/>
      <c r="C23" s="184"/>
      <c r="D23" s="184"/>
      <c r="E23" s="184">
        <f>SUM(E15:E22)</f>
        <v>100666</v>
      </c>
      <c r="F23" s="184">
        <f>SUM(F15:F22)</f>
        <v>102833</v>
      </c>
      <c r="G23" s="1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</vt:i4>
      </vt:variant>
    </vt:vector>
  </HeadingPairs>
  <TitlesOfParts>
    <vt:vector size="28" baseType="lpstr">
      <vt:lpstr>1</vt:lpstr>
      <vt:lpstr>2(discard)</vt:lpstr>
      <vt:lpstr>3</vt:lpstr>
      <vt:lpstr>4</vt:lpstr>
      <vt:lpstr>5</vt:lpstr>
      <vt:lpstr>6(discard)</vt:lpstr>
      <vt:lpstr>7(discard)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ALL</vt:lpstr>
      <vt:lpstr>TEMPERATURE</vt:lpstr>
      <vt:lpstr>Sheet1</vt:lpstr>
      <vt:lpstr>ALL!Print_Area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2026-05-27T02:05:26Z</dcterms:modified>
</cp:coreProperties>
</file>