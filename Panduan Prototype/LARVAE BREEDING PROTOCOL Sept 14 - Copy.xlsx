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 defaultThemeVersion="124226"/>
  <xr:revisionPtr revIDLastSave="0" documentId="13_ncr:1_{570FA0A6-E431-4366-8024-F2D3FC45F52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Water Exchange" sheetId="2" r:id="rId2"/>
    <sheet name="Sheet4" sheetId="4" r:id="rId3"/>
    <sheet name="Sheet3" sheetId="3" r:id="rId4"/>
  </sheets>
  <definedNames>
    <definedName name="_xlnm.Print_Area" localSheetId="0">Sheet1!$A$1:$P$42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49" i="4" l="1"/>
  <c r="Y49" i="4"/>
  <c r="W49" i="4"/>
  <c r="U49" i="4"/>
  <c r="S49" i="4"/>
  <c r="Q49" i="4"/>
  <c r="O49" i="4"/>
  <c r="M49" i="4"/>
  <c r="K49" i="4"/>
  <c r="I49" i="4"/>
  <c r="G49" i="4"/>
  <c r="E49" i="4"/>
  <c r="C49" i="4"/>
  <c r="Z48" i="4"/>
  <c r="Y48" i="4"/>
  <c r="W48" i="4"/>
  <c r="U48" i="4"/>
  <c r="S48" i="4"/>
  <c r="Q48" i="4"/>
  <c r="O48" i="4"/>
  <c r="M48" i="4"/>
  <c r="K48" i="4"/>
  <c r="I48" i="4"/>
  <c r="G48" i="4"/>
  <c r="E48" i="4"/>
  <c r="C48" i="4"/>
  <c r="Z47" i="4"/>
  <c r="Y47" i="4"/>
  <c r="W47" i="4"/>
  <c r="U47" i="4"/>
  <c r="S47" i="4"/>
  <c r="Q47" i="4"/>
  <c r="O47" i="4"/>
  <c r="M47" i="4"/>
  <c r="K47" i="4"/>
  <c r="I47" i="4"/>
  <c r="G47" i="4"/>
  <c r="E47" i="4"/>
  <c r="C47" i="4"/>
  <c r="Z46" i="4"/>
  <c r="Y46" i="4"/>
  <c r="W46" i="4"/>
  <c r="U46" i="4"/>
  <c r="S46" i="4"/>
  <c r="Q46" i="4"/>
  <c r="O46" i="4"/>
  <c r="M46" i="4"/>
  <c r="K46" i="4"/>
  <c r="I46" i="4"/>
  <c r="G46" i="4"/>
  <c r="E46" i="4"/>
  <c r="C46" i="4"/>
  <c r="Z45" i="4"/>
  <c r="Y45" i="4"/>
  <c r="W45" i="4"/>
  <c r="U45" i="4"/>
  <c r="S45" i="4"/>
  <c r="Q45" i="4"/>
  <c r="O45" i="4"/>
  <c r="M45" i="4"/>
  <c r="K45" i="4"/>
  <c r="I45" i="4"/>
  <c r="G45" i="4"/>
  <c r="E45" i="4"/>
  <c r="C45" i="4"/>
  <c r="Z44" i="4"/>
  <c r="Y44" i="4"/>
  <c r="W44" i="4"/>
  <c r="U44" i="4"/>
  <c r="S44" i="4"/>
  <c r="Q44" i="4"/>
  <c r="O44" i="4"/>
  <c r="M44" i="4"/>
  <c r="K44" i="4"/>
  <c r="I44" i="4"/>
  <c r="G44" i="4"/>
  <c r="E44" i="4"/>
  <c r="C44" i="4"/>
  <c r="Z43" i="4"/>
  <c r="Y43" i="4"/>
  <c r="W43" i="4"/>
  <c r="U43" i="4"/>
  <c r="S43" i="4"/>
  <c r="Q43" i="4"/>
  <c r="O43" i="4"/>
  <c r="M43" i="4"/>
  <c r="K43" i="4"/>
  <c r="I43" i="4"/>
  <c r="G43" i="4"/>
  <c r="E43" i="4"/>
  <c r="C43" i="4"/>
  <c r="Z42" i="4"/>
  <c r="Y42" i="4"/>
  <c r="W42" i="4"/>
  <c r="U42" i="4"/>
  <c r="S42" i="4"/>
  <c r="Q42" i="4"/>
  <c r="O42" i="4"/>
  <c r="M42" i="4"/>
  <c r="K42" i="4"/>
  <c r="I42" i="4"/>
  <c r="G42" i="4"/>
  <c r="E42" i="4"/>
  <c r="C42" i="4"/>
  <c r="Z41" i="4"/>
  <c r="Y41" i="4"/>
  <c r="W41" i="4"/>
  <c r="U41" i="4"/>
  <c r="S41" i="4"/>
  <c r="Q41" i="4"/>
  <c r="O41" i="4"/>
  <c r="M41" i="4"/>
  <c r="K41" i="4"/>
  <c r="I41" i="4"/>
  <c r="G41" i="4"/>
  <c r="E41" i="4"/>
  <c r="C41" i="4"/>
  <c r="Z40" i="4"/>
  <c r="Y40" i="4"/>
  <c r="W40" i="4"/>
  <c r="U40" i="4"/>
  <c r="S40" i="4"/>
  <c r="Q40" i="4"/>
  <c r="O40" i="4"/>
  <c r="M40" i="4"/>
  <c r="K40" i="4"/>
  <c r="I40" i="4"/>
  <c r="G40" i="4"/>
  <c r="E40" i="4"/>
  <c r="C40" i="4"/>
  <c r="Z39" i="4"/>
  <c r="Y39" i="4"/>
  <c r="W39" i="4"/>
  <c r="U39" i="4"/>
  <c r="S39" i="4"/>
  <c r="Q39" i="4"/>
  <c r="O39" i="4"/>
  <c r="M39" i="4"/>
  <c r="K39" i="4"/>
  <c r="I39" i="4"/>
  <c r="G39" i="4"/>
  <c r="E39" i="4"/>
  <c r="C39" i="4"/>
  <c r="Z38" i="4"/>
  <c r="Y38" i="4"/>
  <c r="W38" i="4"/>
  <c r="U38" i="4"/>
  <c r="S38" i="4"/>
  <c r="Q38" i="4"/>
  <c r="O38" i="4"/>
  <c r="M38" i="4"/>
  <c r="K38" i="4"/>
  <c r="I38" i="4"/>
  <c r="G38" i="4"/>
  <c r="E38" i="4"/>
  <c r="C38" i="4"/>
  <c r="Z37" i="4"/>
  <c r="Y37" i="4"/>
  <c r="W37" i="4"/>
  <c r="U37" i="4"/>
  <c r="S37" i="4"/>
  <c r="Q37" i="4"/>
  <c r="O37" i="4"/>
  <c r="M37" i="4"/>
  <c r="K37" i="4"/>
  <c r="I37" i="4"/>
  <c r="G37" i="4"/>
  <c r="E37" i="4"/>
  <c r="C37" i="4"/>
  <c r="Z36" i="4"/>
  <c r="Y36" i="4"/>
  <c r="W36" i="4"/>
  <c r="U36" i="4"/>
  <c r="S36" i="4"/>
  <c r="Q36" i="4"/>
  <c r="O36" i="4"/>
  <c r="M36" i="4"/>
  <c r="K36" i="4"/>
  <c r="I36" i="4"/>
  <c r="G36" i="4"/>
  <c r="E36" i="4"/>
  <c r="C36" i="4"/>
  <c r="Z35" i="4"/>
  <c r="Y35" i="4"/>
  <c r="W35" i="4"/>
  <c r="U35" i="4"/>
  <c r="S35" i="4"/>
  <c r="Q35" i="4"/>
  <c r="O35" i="4"/>
  <c r="M35" i="4"/>
  <c r="K35" i="4"/>
  <c r="I35" i="4"/>
  <c r="G35" i="4"/>
  <c r="E35" i="4"/>
  <c r="C35" i="4"/>
  <c r="Z34" i="4"/>
  <c r="Y34" i="4"/>
  <c r="W34" i="4"/>
  <c r="U34" i="4"/>
  <c r="S34" i="4"/>
  <c r="Q34" i="4"/>
  <c r="O34" i="4"/>
  <c r="M34" i="4"/>
  <c r="K34" i="4"/>
  <c r="I34" i="4"/>
  <c r="G34" i="4"/>
  <c r="E34" i="4"/>
  <c r="C34" i="4"/>
  <c r="Z33" i="4"/>
  <c r="Y33" i="4"/>
  <c r="W33" i="4"/>
  <c r="U33" i="4"/>
  <c r="S33" i="4"/>
  <c r="Q33" i="4"/>
  <c r="O33" i="4"/>
  <c r="M33" i="4"/>
  <c r="K33" i="4"/>
  <c r="I33" i="4"/>
  <c r="G33" i="4"/>
  <c r="E33" i="4"/>
  <c r="C33" i="4"/>
  <c r="Y32" i="4"/>
  <c r="U32" i="4"/>
  <c r="Q32" i="4"/>
  <c r="M32" i="4"/>
  <c r="I32" i="4"/>
  <c r="E32" i="4"/>
  <c r="Y31" i="4"/>
  <c r="U31" i="4"/>
  <c r="Q31" i="4"/>
  <c r="M31" i="4"/>
  <c r="I31" i="4"/>
  <c r="Y24" i="4"/>
  <c r="W24" i="4"/>
  <c r="U24" i="4"/>
  <c r="S24" i="4"/>
  <c r="Q24" i="4"/>
  <c r="O24" i="4"/>
  <c r="M24" i="4"/>
  <c r="K24" i="4"/>
  <c r="I24" i="4"/>
  <c r="G24" i="4"/>
  <c r="E24" i="4"/>
  <c r="C24" i="4"/>
  <c r="AA23" i="4"/>
  <c r="AA22" i="4"/>
  <c r="AA21" i="4"/>
  <c r="AA20" i="4"/>
  <c r="AA19" i="4"/>
  <c r="AA18" i="4"/>
  <c r="AA17" i="4"/>
  <c r="AD17" i="4" s="1"/>
  <c r="AA16" i="4"/>
  <c r="AD16" i="4" s="1"/>
  <c r="AA15" i="4"/>
  <c r="AD15" i="4" s="1"/>
  <c r="AD14" i="4"/>
  <c r="AA14" i="4"/>
  <c r="AA13" i="4"/>
  <c r="AD13" i="4" s="1"/>
  <c r="AC12" i="4"/>
  <c r="AA12" i="4"/>
  <c r="AD12" i="4" s="1"/>
  <c r="AD11" i="4"/>
  <c r="AC11" i="4"/>
  <c r="AA11" i="4"/>
  <c r="AC10" i="4"/>
  <c r="AA10" i="4"/>
  <c r="AD10" i="4" s="1"/>
  <c r="AC9" i="4"/>
  <c r="AA9" i="4"/>
  <c r="AD9" i="4" s="1"/>
  <c r="AC8" i="4"/>
  <c r="AA8" i="4"/>
  <c r="AD8" i="4" s="1"/>
  <c r="AD7" i="4"/>
  <c r="AC7" i="4"/>
  <c r="AA7" i="4"/>
  <c r="AC6" i="4"/>
  <c r="AC5" i="4"/>
  <c r="L4" i="2"/>
  <c r="A16" i="1"/>
  <c r="A17" i="1" s="1"/>
  <c r="A18" i="1" s="1"/>
  <c r="A8" i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<sst xmlns="http://schemas.openxmlformats.org/spreadsheetml/2006/main" count="739" uniqueCount="160">
  <si>
    <t>LARVICULTURE REARING PROTOCOL</t>
  </si>
  <si>
    <t>LAST UPDATE</t>
  </si>
  <si>
    <t>PROBIOTIC</t>
  </si>
  <si>
    <t>DAYS (HARI)</t>
  </si>
  <si>
    <t>WATER LEVEL</t>
  </si>
  <si>
    <t>TEMP</t>
  </si>
  <si>
    <t>MESH</t>
  </si>
  <si>
    <t>WATER SOURCE</t>
  </si>
  <si>
    <t>RECIRCULATION</t>
  </si>
  <si>
    <t>TREFLAN</t>
  </si>
  <si>
    <t>V. Algen.</t>
  </si>
  <si>
    <t>BZT</t>
  </si>
  <si>
    <t>VIT C</t>
  </si>
  <si>
    <t>Chlor T</t>
  </si>
  <si>
    <t>ppm</t>
  </si>
  <si>
    <t>STAGE</t>
  </si>
  <si>
    <t>LITER</t>
  </si>
  <si>
    <t>°C</t>
  </si>
  <si>
    <t>MICRONS</t>
  </si>
  <si>
    <t>8h 16h 24h</t>
  </si>
  <si>
    <t>ml</t>
  </si>
  <si>
    <t>N5 - Z1</t>
  </si>
  <si>
    <t>500+EDTA(25ppm)</t>
  </si>
  <si>
    <t>30-32</t>
  </si>
  <si>
    <t>PIPE</t>
  </si>
  <si>
    <t>Polished</t>
  </si>
  <si>
    <t>Z1/Z2</t>
  </si>
  <si>
    <t>Z2/Z3</t>
  </si>
  <si>
    <t>Z3/M1</t>
  </si>
  <si>
    <t>TABLE</t>
  </si>
  <si>
    <t>TABLE+ 200L</t>
  </si>
  <si>
    <t>400/500</t>
  </si>
  <si>
    <t>Formalin 15</t>
  </si>
  <si>
    <t>TRANSFER           -      16ppm</t>
  </si>
  <si>
    <t>Amp + Thal</t>
  </si>
  <si>
    <t>5 (2PM)</t>
  </si>
  <si>
    <t>stocking naupli tambahkan EDTA 25 ppm, aerasi selama 1 jam</t>
  </si>
  <si>
    <t>STOCKING</t>
  </si>
  <si>
    <t>JENIS</t>
  </si>
  <si>
    <t>PAGI</t>
  </si>
  <si>
    <t>SORE</t>
  </si>
  <si>
    <t>MALAM</t>
  </si>
  <si>
    <t>PL1-PL4</t>
  </si>
  <si>
    <t>ALGINO</t>
  </si>
  <si>
    <t>14;00</t>
  </si>
  <si>
    <t>22;00</t>
  </si>
  <si>
    <t>08;00</t>
  </si>
  <si>
    <t>CHLORAMINT</t>
  </si>
  <si>
    <t>TRFLAN</t>
  </si>
  <si>
    <t>09;00</t>
  </si>
  <si>
    <t>16;00</t>
  </si>
  <si>
    <t>24;00</t>
  </si>
  <si>
    <t>FORMALIN</t>
  </si>
  <si>
    <t>10;00</t>
  </si>
  <si>
    <t>17;00</t>
  </si>
  <si>
    <t>VIT-C</t>
  </si>
  <si>
    <t>11;00</t>
  </si>
  <si>
    <t>Z1/Z2 - MPL</t>
  </si>
  <si>
    <t>07;00</t>
  </si>
  <si>
    <t>300/400</t>
  </si>
  <si>
    <t>M1/M2</t>
  </si>
  <si>
    <t>M3M2</t>
  </si>
  <si>
    <t>PLM3</t>
  </si>
  <si>
    <t>PLPL1</t>
  </si>
  <si>
    <t>PL1-2</t>
  </si>
  <si>
    <t>PL2-3</t>
  </si>
  <si>
    <t>PL3-4</t>
  </si>
  <si>
    <t>PL4-5</t>
  </si>
  <si>
    <t>PL5-6</t>
  </si>
  <si>
    <t>PL6-7</t>
  </si>
  <si>
    <t>PL7-8</t>
  </si>
  <si>
    <t>PL8-9</t>
  </si>
  <si>
    <t>PL9-10</t>
  </si>
  <si>
    <t>PL10-11</t>
  </si>
  <si>
    <t>ALGAE</t>
  </si>
  <si>
    <t>TH/CH</t>
  </si>
  <si>
    <t>IDEAL</t>
  </si>
  <si>
    <t>35/40</t>
  </si>
  <si>
    <t>45/40</t>
  </si>
  <si>
    <t>55/30</t>
  </si>
  <si>
    <t>65/20</t>
  </si>
  <si>
    <t>65/15</t>
  </si>
  <si>
    <t>50/10</t>
  </si>
  <si>
    <t>Chaetoceros</t>
  </si>
  <si>
    <t>1.5 liters @ stocking</t>
  </si>
  <si>
    <t>EXCHANGE 35%</t>
  </si>
  <si>
    <t>October 2015</t>
  </si>
  <si>
    <t>no heater</t>
  </si>
  <si>
    <t>TABEL FLOWTROUGH LARVA BREEDING</t>
  </si>
  <si>
    <t>30 e/lt</t>
  </si>
  <si>
    <t>ml/menit</t>
  </si>
  <si>
    <t>40 e/lt</t>
  </si>
  <si>
    <t>50 e/lt</t>
  </si>
  <si>
    <t>60 e/lt</t>
  </si>
  <si>
    <t>70 e/lt</t>
  </si>
  <si>
    <t>Z3M1</t>
  </si>
  <si>
    <t>M2</t>
  </si>
  <si>
    <t>M3</t>
  </si>
  <si>
    <t>M3PL1</t>
  </si>
  <si>
    <t>PL1</t>
  </si>
  <si>
    <t>PL1PL2</t>
  </si>
  <si>
    <t>PL2PL3</t>
  </si>
  <si>
    <t>PL3PL4</t>
  </si>
  <si>
    <t>PL4PL5</t>
  </si>
  <si>
    <t>PL5PL6</t>
  </si>
  <si>
    <t>PL6PL7</t>
  </si>
  <si>
    <t>PL7PL8</t>
  </si>
  <si>
    <t>PL8PL9</t>
  </si>
  <si>
    <t>PL9PL10</t>
  </si>
  <si>
    <t>80e/lt</t>
  </si>
  <si>
    <t>90 e/lt</t>
  </si>
  <si>
    <t>100 e/lt</t>
  </si>
  <si>
    <t>110 e/lt</t>
  </si>
  <si>
    <t>120 e/lt</t>
  </si>
  <si>
    <t>Pakan Larvae Populasi 100.000</t>
  </si>
  <si>
    <t>Artemia</t>
  </si>
  <si>
    <t>Dry Food</t>
  </si>
  <si>
    <t>stage</t>
  </si>
  <si>
    <t>13;00</t>
  </si>
  <si>
    <t>15;00</t>
  </si>
  <si>
    <t>19;00</t>
  </si>
  <si>
    <t>21;00</t>
  </si>
  <si>
    <t>23;00</t>
  </si>
  <si>
    <t>01;00</t>
  </si>
  <si>
    <t>03;00</t>
  </si>
  <si>
    <t>05;00</t>
  </si>
  <si>
    <t>artemia</t>
  </si>
  <si>
    <t>N5-Z1</t>
  </si>
  <si>
    <t>P1</t>
  </si>
  <si>
    <t>PI</t>
  </si>
  <si>
    <t>Z1-Z2</t>
  </si>
  <si>
    <t>P2</t>
  </si>
  <si>
    <t>Z2-Z3</t>
  </si>
  <si>
    <t>BEKU</t>
  </si>
  <si>
    <t>P3</t>
  </si>
  <si>
    <t>Z3</t>
  </si>
  <si>
    <t>P4</t>
  </si>
  <si>
    <t>Z3-M1</t>
  </si>
  <si>
    <t>P5</t>
  </si>
  <si>
    <t>P6</t>
  </si>
  <si>
    <t>P7</t>
  </si>
  <si>
    <t>MPL</t>
  </si>
  <si>
    <t>P8</t>
  </si>
  <si>
    <t>PL2</t>
  </si>
  <si>
    <t>PL3</t>
  </si>
  <si>
    <t>PL4</t>
  </si>
  <si>
    <t>PL5</t>
  </si>
  <si>
    <t>PL6</t>
  </si>
  <si>
    <t>BM</t>
  </si>
  <si>
    <t>P9</t>
  </si>
  <si>
    <t>PL7</t>
  </si>
  <si>
    <t>P10</t>
  </si>
  <si>
    <t>PL8</t>
  </si>
  <si>
    <t>P11</t>
  </si>
  <si>
    <t>PL9</t>
  </si>
  <si>
    <t>P12</t>
  </si>
  <si>
    <t>PL10</t>
  </si>
  <si>
    <t>P13</t>
  </si>
  <si>
    <t>PL11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</si>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</sst>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b/>
      <sz val="10"/>
      <name val="Arial Black"/>
      <family val="2"/>
      <charset val="1"/>
    </font>
    <font>
      <b/>
      <sz val="10"/>
      <name val="Arial"/>
      <family val="2"/>
      <charset val="1"/>
    </font>
    <font>
      <b/>
      <sz val="10"/>
      <name val="Calibri"/>
      <family val="2"/>
    </font>
    <font>
      <sz val="8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2"/>
      <name val="Arial"/>
      <family val="2"/>
      <charset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</fills>
  <borders count="30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22" applyNumberFormat="0" applyFill="0" applyAlignment="0" applyProtection="0"/>
    <xf numFmtId="165" fontId="13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0" fillId="0" borderId="2" xfId="0" applyBorder="1"/>
    <xf numFmtId="3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7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2" xfId="0" applyFont="1" applyBorder="1"/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3" xfId="0" applyBorder="1"/>
    <xf numFmtId="1" fontId="0" fillId="0" borderId="23" xfId="0" applyNumberFormat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5" fontId="0" fillId="0" borderId="0" xfId="4" applyFont="1"/>
    <xf numFmtId="0" fontId="16" fillId="0" borderId="0" xfId="0" applyFont="1"/>
    <xf numFmtId="164" fontId="16" fillId="0" borderId="0" xfId="0" applyNumberFormat="1" applyFont="1"/>
    <xf numFmtId="0" fontId="16" fillId="0" borderId="23" xfId="0" applyFont="1" applyBorder="1"/>
    <xf numFmtId="164" fontId="15" fillId="0" borderId="25" xfId="0" applyNumberFormat="1" applyFont="1" applyBorder="1" applyAlignment="1">
      <alignment horizontal="center"/>
    </xf>
    <xf numFmtId="164" fontId="15" fillId="0" borderId="26" xfId="0" applyNumberFormat="1" applyFont="1" applyBorder="1" applyAlignment="1">
      <alignment horizontal="center"/>
    </xf>
    <xf numFmtId="164" fontId="15" fillId="0" borderId="23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23" xfId="0" applyFont="1" applyBorder="1"/>
    <xf numFmtId="164" fontId="16" fillId="0" borderId="23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4" applyFont="1" applyFill="1" applyBorder="1" applyAlignment="1">
      <alignment horizontal="center"/>
    </xf>
    <xf numFmtId="165" fontId="14" fillId="5" borderId="22" xfId="3" applyNumberFormat="1" applyFill="1"/>
    <xf numFmtId="0" fontId="15" fillId="0" borderId="27" xfId="0" applyFont="1" applyBorder="1"/>
    <xf numFmtId="164" fontId="15" fillId="0" borderId="28" xfId="0" applyNumberFormat="1" applyFont="1" applyBorder="1" applyAlignment="1">
      <alignment horizontal="center"/>
    </xf>
    <xf numFmtId="164" fontId="15" fillId="0" borderId="29" xfId="0" applyNumberFormat="1" applyFont="1" applyBorder="1" applyAlignment="1">
      <alignment horizontal="center"/>
    </xf>
    <xf numFmtId="164" fontId="15" fillId="0" borderId="27" xfId="0" applyNumberFormat="1" applyFont="1" applyBorder="1" applyAlignment="1">
      <alignment horizontal="center"/>
    </xf>
    <xf numFmtId="0" fontId="15" fillId="0" borderId="2" xfId="0" applyFont="1" applyBorder="1"/>
    <xf numFmtId="0" fontId="17" fillId="0" borderId="2" xfId="0" applyFont="1" applyBorder="1"/>
    <xf numFmtId="164" fontId="16" fillId="0" borderId="2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</cellXfs>
  <cellStyles count="5">
    <cellStyle name="Comma [0] 2" xfId="4" xr:uid="{6D828721-8095-41F6-B7BA-AFDB216FFD09}"/>
    <cellStyle name="Followed Hyperlink" xfId="2" builtinId="9" hidden="1"/>
    <cellStyle name="Heading 1" xfId="3" builtinId="16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2"/>
  <sheetViews>
    <sheetView zoomScale="80" zoomScaleNormal="80" zoomScalePageLayoutView="80" workbookViewId="0">
      <selection sqref="A1:P42"/>
    </sheetView>
  </sheetViews>
  <sheetFormatPr defaultColWidth="8.85546875" defaultRowHeight="15" x14ac:dyDescent="0.25"/>
  <cols>
    <col min="1" max="1" width="8.85546875" customWidth="1"/>
    <col min="3" max="3" width="13.7109375" customWidth="1"/>
    <col min="4" max="4" width="10.7109375" bestFit="1" customWidth="1"/>
    <col min="6" max="6" width="8.140625" bestFit="1" customWidth="1"/>
    <col min="7" max="7" width="16.42578125" bestFit="1" customWidth="1"/>
    <col min="8" max="8" width="16.140625" bestFit="1" customWidth="1"/>
    <col min="9" max="9" width="13.140625" bestFit="1" customWidth="1"/>
    <col min="10" max="10" width="6.28515625" customWidth="1"/>
    <col min="11" max="11" width="6.85546875" customWidth="1"/>
    <col min="12" max="12" width="6.28515625" bestFit="1" customWidth="1"/>
    <col min="13" max="13" width="7.85546875" bestFit="1" customWidth="1"/>
    <col min="14" max="14" width="7.140625" customWidth="1"/>
    <col min="15" max="15" width="7.42578125" bestFit="1" customWidth="1"/>
    <col min="16" max="16" width="10" bestFit="1" customWidth="1"/>
  </cols>
  <sheetData>
    <row r="1" spans="1:16" ht="15.75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x14ac:dyDescent="0.25">
      <c r="B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 thickBot="1" x14ac:dyDescent="0.3">
      <c r="A3" s="2" t="s">
        <v>1</v>
      </c>
      <c r="B3" s="3"/>
      <c r="C3" s="54" t="s">
        <v>86</v>
      </c>
      <c r="D3" s="55"/>
      <c r="E3" s="1"/>
      <c r="F3" s="1"/>
      <c r="G3" s="1"/>
      <c r="H3" s="1"/>
      <c r="I3" s="1"/>
      <c r="J3" s="56" t="s">
        <v>2</v>
      </c>
      <c r="K3" s="56"/>
      <c r="L3" s="56"/>
      <c r="M3" s="56"/>
      <c r="N3" s="56"/>
      <c r="O3" s="1"/>
      <c r="P3" s="1"/>
    </row>
    <row r="4" spans="1:16" ht="12.75" customHeight="1" x14ac:dyDescent="0.25">
      <c r="A4" s="57" t="s">
        <v>3</v>
      </c>
      <c r="B4" s="58" t="s">
        <v>4</v>
      </c>
      <c r="C4" s="58"/>
      <c r="D4" s="57" t="s">
        <v>5</v>
      </c>
      <c r="E4" s="57" t="s">
        <v>6</v>
      </c>
      <c r="F4" s="39" t="s">
        <v>74</v>
      </c>
      <c r="G4" s="57" t="s">
        <v>7</v>
      </c>
      <c r="H4" s="59" t="s">
        <v>8</v>
      </c>
      <c r="I4" s="4" t="s">
        <v>9</v>
      </c>
      <c r="J4" s="62" t="s">
        <v>10</v>
      </c>
      <c r="K4" s="56"/>
      <c r="L4" s="56"/>
      <c r="M4" s="56" t="s">
        <v>11</v>
      </c>
      <c r="N4" s="56"/>
      <c r="O4" s="58" t="s">
        <v>12</v>
      </c>
      <c r="P4" s="58" t="s">
        <v>13</v>
      </c>
    </row>
    <row r="5" spans="1:16" ht="15.75" x14ac:dyDescent="0.25">
      <c r="A5" s="57"/>
      <c r="B5" s="58"/>
      <c r="C5" s="58"/>
      <c r="D5" s="57"/>
      <c r="E5" s="57"/>
      <c r="F5" s="42" t="s">
        <v>75</v>
      </c>
      <c r="G5" s="57"/>
      <c r="H5" s="59"/>
      <c r="I5" s="5" t="s">
        <v>14</v>
      </c>
      <c r="J5" s="6">
        <v>0.33333333333333298</v>
      </c>
      <c r="K5" s="7">
        <v>0.58333333333333304</v>
      </c>
      <c r="L5" s="7">
        <v>0.91666666666666696</v>
      </c>
      <c r="M5" s="7">
        <v>10.416666666666666</v>
      </c>
      <c r="N5" s="7">
        <v>0.70833333333333337</v>
      </c>
      <c r="O5" s="58"/>
      <c r="P5" s="58"/>
    </row>
    <row r="6" spans="1:16" ht="16.5" thickBot="1" x14ac:dyDescent="0.3">
      <c r="A6" s="57"/>
      <c r="B6" s="8" t="s">
        <v>15</v>
      </c>
      <c r="C6" s="8" t="s">
        <v>16</v>
      </c>
      <c r="D6" s="9" t="s">
        <v>17</v>
      </c>
      <c r="E6" s="8" t="s">
        <v>18</v>
      </c>
      <c r="F6" s="42" t="s">
        <v>76</v>
      </c>
      <c r="G6" s="57"/>
      <c r="H6" s="59"/>
      <c r="I6" s="10" t="s">
        <v>19</v>
      </c>
      <c r="J6" s="11" t="s">
        <v>20</v>
      </c>
      <c r="K6" s="8" t="s">
        <v>20</v>
      </c>
      <c r="L6" s="8" t="s">
        <v>20</v>
      </c>
      <c r="M6" s="8" t="s">
        <v>14</v>
      </c>
      <c r="N6" s="8" t="s">
        <v>14</v>
      </c>
      <c r="O6" s="8" t="s">
        <v>14</v>
      </c>
      <c r="P6" s="8" t="s">
        <v>14</v>
      </c>
    </row>
    <row r="7" spans="1:16" ht="15.75" x14ac:dyDescent="0.25">
      <c r="A7" s="12">
        <v>1</v>
      </c>
      <c r="B7" s="39" t="s">
        <v>21</v>
      </c>
      <c r="C7" s="13" t="s">
        <v>22</v>
      </c>
      <c r="D7" s="14" t="s">
        <v>23</v>
      </c>
      <c r="E7" s="14" t="s">
        <v>24</v>
      </c>
      <c r="F7" s="43" t="s">
        <v>77</v>
      </c>
      <c r="G7" s="14" t="s">
        <v>25</v>
      </c>
      <c r="H7" s="15"/>
      <c r="I7" s="14">
        <v>5</v>
      </c>
      <c r="J7" s="14">
        <v>25</v>
      </c>
      <c r="K7" s="14">
        <v>25</v>
      </c>
      <c r="L7" s="14">
        <v>25</v>
      </c>
      <c r="M7" s="14">
        <v>1</v>
      </c>
      <c r="N7" s="14">
        <v>1</v>
      </c>
      <c r="O7" s="14">
        <v>1</v>
      </c>
      <c r="P7" s="14"/>
    </row>
    <row r="8" spans="1:16" ht="15.75" x14ac:dyDescent="0.25">
      <c r="A8" s="12">
        <f>A7+1</f>
        <v>2</v>
      </c>
      <c r="B8" s="40" t="s">
        <v>26</v>
      </c>
      <c r="C8" s="14">
        <v>600</v>
      </c>
      <c r="D8" s="14">
        <v>33</v>
      </c>
      <c r="E8" s="14" t="s">
        <v>24</v>
      </c>
      <c r="F8" s="44" t="s">
        <v>78</v>
      </c>
      <c r="G8" s="14" t="s">
        <v>25</v>
      </c>
      <c r="H8" s="15"/>
      <c r="I8" s="14">
        <v>5</v>
      </c>
      <c r="J8" s="14">
        <v>25</v>
      </c>
      <c r="K8" s="14">
        <v>25</v>
      </c>
      <c r="L8" s="14">
        <v>25</v>
      </c>
      <c r="M8" s="14">
        <v>1</v>
      </c>
      <c r="N8" s="14">
        <v>1</v>
      </c>
      <c r="O8" s="14">
        <v>1</v>
      </c>
      <c r="P8" s="14"/>
    </row>
    <row r="9" spans="1:16" ht="15.75" x14ac:dyDescent="0.25">
      <c r="A9" s="12">
        <f>A8+1</f>
        <v>3</v>
      </c>
      <c r="B9" s="40" t="s">
        <v>27</v>
      </c>
      <c r="C9" s="14">
        <v>700</v>
      </c>
      <c r="D9" s="14">
        <v>33</v>
      </c>
      <c r="E9" s="14" t="s">
        <v>24</v>
      </c>
      <c r="F9" s="44" t="s">
        <v>79</v>
      </c>
      <c r="G9" s="14" t="s">
        <v>25</v>
      </c>
      <c r="H9" s="15"/>
      <c r="I9" s="14">
        <v>5</v>
      </c>
      <c r="J9" s="14">
        <v>25</v>
      </c>
      <c r="K9" s="14">
        <v>25</v>
      </c>
      <c r="L9" s="14">
        <v>25</v>
      </c>
      <c r="M9" s="14">
        <v>1</v>
      </c>
      <c r="N9" s="14">
        <v>1</v>
      </c>
      <c r="O9" s="14">
        <v>1</v>
      </c>
      <c r="P9" s="14"/>
    </row>
    <row r="10" spans="1:16" ht="15.75" x14ac:dyDescent="0.25">
      <c r="A10" s="12">
        <f>A9+1</f>
        <v>4</v>
      </c>
      <c r="B10" s="40" t="s">
        <v>28</v>
      </c>
      <c r="C10" s="14">
        <v>750</v>
      </c>
      <c r="D10" s="14">
        <v>33</v>
      </c>
      <c r="E10" s="14">
        <v>300</v>
      </c>
      <c r="F10" s="44" t="s">
        <v>80</v>
      </c>
      <c r="G10" s="14" t="s">
        <v>25</v>
      </c>
      <c r="H10" s="16" t="s">
        <v>85</v>
      </c>
      <c r="I10" s="14">
        <v>5</v>
      </c>
      <c r="J10" s="14"/>
      <c r="K10" s="14">
        <v>25</v>
      </c>
      <c r="L10" s="14">
        <v>25</v>
      </c>
      <c r="M10" s="14">
        <v>1</v>
      </c>
      <c r="N10" s="14">
        <v>1</v>
      </c>
      <c r="O10" s="14">
        <v>1</v>
      </c>
      <c r="P10" s="14"/>
    </row>
    <row r="11" spans="1:16" ht="15.75" x14ac:dyDescent="0.25">
      <c r="A11" s="12">
        <f>A10+1</f>
        <v>5</v>
      </c>
      <c r="B11" s="40" t="s">
        <v>60</v>
      </c>
      <c r="C11" s="14">
        <v>700</v>
      </c>
      <c r="D11" s="14">
        <v>33</v>
      </c>
      <c r="E11" s="14">
        <v>300</v>
      </c>
      <c r="F11" s="44" t="s">
        <v>81</v>
      </c>
      <c r="G11" s="14" t="s">
        <v>25</v>
      </c>
      <c r="H11" s="16" t="s">
        <v>29</v>
      </c>
      <c r="I11" s="14"/>
      <c r="J11" s="14"/>
      <c r="K11" s="14">
        <v>25</v>
      </c>
      <c r="L11" s="14">
        <v>25</v>
      </c>
      <c r="M11" s="14">
        <v>1</v>
      </c>
      <c r="N11" s="14">
        <v>1</v>
      </c>
      <c r="O11" s="14">
        <v>1</v>
      </c>
      <c r="P11" s="14"/>
    </row>
    <row r="12" spans="1:16" ht="15.75" x14ac:dyDescent="0.25">
      <c r="A12" s="12">
        <f>A11+1</f>
        <v>6</v>
      </c>
      <c r="B12" s="40" t="s">
        <v>61</v>
      </c>
      <c r="C12" s="14">
        <v>700</v>
      </c>
      <c r="D12" s="14">
        <v>33</v>
      </c>
      <c r="E12" s="14">
        <v>300</v>
      </c>
      <c r="F12" s="44" t="s">
        <v>82</v>
      </c>
      <c r="G12" s="14" t="s">
        <v>25</v>
      </c>
      <c r="H12" s="16" t="s">
        <v>29</v>
      </c>
      <c r="I12" s="14"/>
      <c r="J12" s="14"/>
      <c r="K12" s="14">
        <v>25</v>
      </c>
      <c r="L12" s="14">
        <v>25</v>
      </c>
      <c r="M12" s="14">
        <v>1</v>
      </c>
      <c r="N12" s="14">
        <v>1</v>
      </c>
      <c r="O12" s="14">
        <v>1</v>
      </c>
      <c r="P12" s="14"/>
    </row>
    <row r="13" spans="1:16" ht="15.75" x14ac:dyDescent="0.25">
      <c r="A13" s="12">
        <v>7</v>
      </c>
      <c r="B13" s="40" t="s">
        <v>62</v>
      </c>
      <c r="C13" s="14">
        <v>700</v>
      </c>
      <c r="D13" s="14">
        <v>33</v>
      </c>
      <c r="E13" s="14" t="s">
        <v>59</v>
      </c>
      <c r="F13" s="44">
        <v>40</v>
      </c>
      <c r="G13" s="14" t="s">
        <v>25</v>
      </c>
      <c r="H13" s="16" t="s">
        <v>29</v>
      </c>
      <c r="I13" s="14"/>
      <c r="J13" s="14"/>
      <c r="K13" s="14">
        <v>25</v>
      </c>
      <c r="L13" s="14">
        <v>25</v>
      </c>
      <c r="M13" s="14">
        <v>1</v>
      </c>
      <c r="N13" s="14">
        <v>1</v>
      </c>
      <c r="O13" s="14">
        <v>1</v>
      </c>
      <c r="P13" s="14"/>
    </row>
    <row r="14" spans="1:16" ht="15.75" x14ac:dyDescent="0.25">
      <c r="A14" s="12">
        <v>8</v>
      </c>
      <c r="B14" s="40" t="s">
        <v>63</v>
      </c>
      <c r="C14" s="14">
        <v>700</v>
      </c>
      <c r="D14" s="14">
        <v>32</v>
      </c>
      <c r="E14" s="14">
        <v>400</v>
      </c>
      <c r="F14" s="44">
        <v>20</v>
      </c>
      <c r="G14" s="14" t="s">
        <v>25</v>
      </c>
      <c r="H14" s="16" t="s">
        <v>29</v>
      </c>
      <c r="I14" s="14"/>
      <c r="J14" s="14"/>
      <c r="K14" s="14">
        <v>25</v>
      </c>
      <c r="L14" s="14">
        <v>25</v>
      </c>
      <c r="M14" s="14">
        <v>1</v>
      </c>
      <c r="N14" s="14">
        <v>1</v>
      </c>
      <c r="O14" s="14">
        <v>1</v>
      </c>
      <c r="P14" s="14"/>
    </row>
    <row r="15" spans="1:16" ht="15.75" x14ac:dyDescent="0.25">
      <c r="A15" s="12">
        <v>9</v>
      </c>
      <c r="B15" s="40" t="s">
        <v>64</v>
      </c>
      <c r="C15" s="14">
        <v>700</v>
      </c>
      <c r="D15" s="17">
        <v>32</v>
      </c>
      <c r="E15" s="14" t="s">
        <v>31</v>
      </c>
      <c r="F15" s="44">
        <v>10</v>
      </c>
      <c r="G15" s="14" t="s">
        <v>25</v>
      </c>
      <c r="H15" s="15" t="s">
        <v>30</v>
      </c>
      <c r="I15" s="14"/>
      <c r="J15" s="14"/>
      <c r="K15" s="14">
        <v>25</v>
      </c>
      <c r="L15" s="14">
        <v>25</v>
      </c>
      <c r="M15" s="14">
        <v>1</v>
      </c>
      <c r="N15" s="14">
        <v>1</v>
      </c>
      <c r="O15" s="14">
        <v>1</v>
      </c>
      <c r="P15" s="13">
        <v>8</v>
      </c>
    </row>
    <row r="16" spans="1:16" ht="15.75" x14ac:dyDescent="0.25">
      <c r="A16" s="12">
        <f>A15+1</f>
        <v>10</v>
      </c>
      <c r="B16" s="40" t="s">
        <v>65</v>
      </c>
      <c r="C16" s="14">
        <v>700</v>
      </c>
      <c r="D16" s="14">
        <v>31</v>
      </c>
      <c r="E16" s="14">
        <v>500</v>
      </c>
      <c r="F16" s="44"/>
      <c r="G16" s="14" t="s">
        <v>25</v>
      </c>
      <c r="H16" s="15" t="s">
        <v>30</v>
      </c>
      <c r="I16" s="14"/>
      <c r="J16" s="14"/>
      <c r="K16" s="14">
        <v>25</v>
      </c>
      <c r="L16" s="14">
        <v>25</v>
      </c>
      <c r="M16" s="14">
        <v>1</v>
      </c>
      <c r="N16" s="14">
        <v>1</v>
      </c>
      <c r="O16" s="14">
        <v>1</v>
      </c>
      <c r="P16" s="13" t="s">
        <v>32</v>
      </c>
    </row>
    <row r="17" spans="1:16" ht="15.75" x14ac:dyDescent="0.25">
      <c r="A17" s="12">
        <f>A16+1</f>
        <v>11</v>
      </c>
      <c r="B17" s="40" t="s">
        <v>66</v>
      </c>
      <c r="C17" s="14">
        <v>700</v>
      </c>
      <c r="D17" s="14">
        <v>30</v>
      </c>
      <c r="E17" s="14">
        <v>500</v>
      </c>
      <c r="F17" s="44"/>
      <c r="G17" s="14" t="s">
        <v>25</v>
      </c>
      <c r="H17" s="15" t="s">
        <v>30</v>
      </c>
      <c r="I17" s="14"/>
      <c r="J17" s="14"/>
      <c r="K17" s="14">
        <v>25</v>
      </c>
      <c r="L17" s="14">
        <v>25</v>
      </c>
      <c r="M17" s="14">
        <v>1</v>
      </c>
      <c r="N17" s="14">
        <v>1</v>
      </c>
      <c r="O17" s="14">
        <v>1</v>
      </c>
      <c r="P17" s="13">
        <v>10</v>
      </c>
    </row>
    <row r="18" spans="1:16" ht="16.5" thickBot="1" x14ac:dyDescent="0.3">
      <c r="A18" s="18">
        <f>A17+1</f>
        <v>12</v>
      </c>
      <c r="B18" s="41" t="s">
        <v>67</v>
      </c>
      <c r="C18" s="19">
        <v>700</v>
      </c>
      <c r="D18" s="19">
        <v>30</v>
      </c>
      <c r="E18" s="19">
        <v>500</v>
      </c>
      <c r="F18" s="45"/>
      <c r="G18" s="19" t="s">
        <v>25</v>
      </c>
      <c r="H18" s="20"/>
      <c r="I18" s="63" t="s">
        <v>33</v>
      </c>
      <c r="J18" s="63"/>
      <c r="K18" s="63"/>
      <c r="L18" s="63"/>
      <c r="M18" s="63"/>
      <c r="N18" s="63"/>
      <c r="O18" s="63"/>
      <c r="P18" s="63"/>
    </row>
    <row r="19" spans="1:16" ht="15.75" thickBot="1" x14ac:dyDescent="0.3">
      <c r="A19" s="21"/>
      <c r="B19" s="14"/>
      <c r="C19" s="21"/>
      <c r="D19" s="14"/>
      <c r="E19" s="14"/>
      <c r="F19" s="14"/>
      <c r="G19" s="14"/>
      <c r="H19" s="15"/>
      <c r="I19" s="14"/>
      <c r="J19" s="14"/>
      <c r="K19" s="14"/>
      <c r="L19" s="14"/>
      <c r="M19" s="14"/>
      <c r="N19" s="14"/>
      <c r="O19" s="14"/>
      <c r="P19" s="8"/>
    </row>
    <row r="20" spans="1:16" ht="12.75" customHeight="1" x14ac:dyDescent="0.25">
      <c r="A20" s="8">
        <v>12</v>
      </c>
      <c r="B20" s="46" t="s">
        <v>67</v>
      </c>
      <c r="C20" s="22">
        <v>500</v>
      </c>
      <c r="D20" s="14">
        <v>30</v>
      </c>
      <c r="E20" s="14" t="s">
        <v>24</v>
      </c>
      <c r="F20" s="50" t="s">
        <v>34</v>
      </c>
      <c r="G20" s="14" t="s">
        <v>25</v>
      </c>
      <c r="H20" s="15"/>
      <c r="I20" s="14"/>
      <c r="J20" s="14"/>
      <c r="K20" s="14">
        <v>25</v>
      </c>
      <c r="L20" s="14">
        <v>25</v>
      </c>
      <c r="M20" s="14"/>
      <c r="N20" s="14">
        <v>1</v>
      </c>
      <c r="O20" s="14" t="s">
        <v>35</v>
      </c>
      <c r="P20" s="14">
        <v>10</v>
      </c>
    </row>
    <row r="21" spans="1:16" x14ac:dyDescent="0.25">
      <c r="A21" s="8">
        <v>13</v>
      </c>
      <c r="B21" s="47" t="s">
        <v>68</v>
      </c>
      <c r="C21" s="14">
        <v>700</v>
      </c>
      <c r="D21" s="14">
        <v>30</v>
      </c>
      <c r="E21" s="14">
        <v>500</v>
      </c>
      <c r="F21" s="51"/>
      <c r="G21" s="14" t="s">
        <v>25</v>
      </c>
      <c r="H21" s="15" t="s">
        <v>29</v>
      </c>
      <c r="I21" s="14"/>
      <c r="J21" s="14"/>
      <c r="K21" s="14">
        <v>25</v>
      </c>
      <c r="L21" s="14">
        <v>25</v>
      </c>
      <c r="M21" s="14"/>
      <c r="N21" s="14">
        <v>1</v>
      </c>
      <c r="O21" s="14">
        <v>1</v>
      </c>
      <c r="P21" s="14"/>
    </row>
    <row r="22" spans="1:16" x14ac:dyDescent="0.25">
      <c r="A22" s="8">
        <v>14</v>
      </c>
      <c r="B22" s="47" t="s">
        <v>69</v>
      </c>
      <c r="C22" s="14">
        <v>700</v>
      </c>
      <c r="D22" s="14">
        <v>30</v>
      </c>
      <c r="E22" s="14">
        <v>600</v>
      </c>
      <c r="F22" s="51"/>
      <c r="G22" s="14" t="s">
        <v>25</v>
      </c>
      <c r="H22" s="15" t="s">
        <v>29</v>
      </c>
      <c r="I22" s="14"/>
      <c r="J22" s="14"/>
      <c r="K22" s="14"/>
      <c r="L22" s="14"/>
      <c r="M22" s="14"/>
      <c r="N22" s="14">
        <v>1</v>
      </c>
      <c r="O22" s="14">
        <v>1</v>
      </c>
      <c r="P22" s="14"/>
    </row>
    <row r="23" spans="1:16" x14ac:dyDescent="0.25">
      <c r="A23" s="8">
        <v>15</v>
      </c>
      <c r="B23" s="47" t="s">
        <v>70</v>
      </c>
      <c r="C23" s="14">
        <v>700</v>
      </c>
      <c r="D23" s="14">
        <v>30</v>
      </c>
      <c r="E23" s="14">
        <v>600</v>
      </c>
      <c r="F23" s="51"/>
      <c r="G23" s="14" t="s">
        <v>25</v>
      </c>
      <c r="H23" s="15" t="s">
        <v>29</v>
      </c>
      <c r="I23" s="14"/>
      <c r="J23" s="14"/>
      <c r="K23" s="14"/>
      <c r="L23" s="14"/>
      <c r="M23" s="14"/>
      <c r="N23" s="14">
        <v>1</v>
      </c>
      <c r="O23" s="14">
        <v>1</v>
      </c>
      <c r="P23" s="14"/>
    </row>
    <row r="24" spans="1:16" x14ac:dyDescent="0.25">
      <c r="A24" s="8">
        <v>16</v>
      </c>
      <c r="B24" s="47" t="s">
        <v>71</v>
      </c>
      <c r="C24" s="14">
        <v>700</v>
      </c>
      <c r="D24" s="14">
        <v>30</v>
      </c>
      <c r="E24" s="14">
        <v>600</v>
      </c>
      <c r="F24" s="51"/>
      <c r="G24" s="14" t="s">
        <v>25</v>
      </c>
      <c r="H24" s="15" t="s">
        <v>29</v>
      </c>
      <c r="I24" s="14"/>
      <c r="J24" s="14"/>
      <c r="K24" s="14"/>
      <c r="L24" s="14"/>
      <c r="M24" s="14"/>
      <c r="N24" s="14">
        <v>1</v>
      </c>
      <c r="O24" s="14">
        <v>1</v>
      </c>
      <c r="P24" s="14"/>
    </row>
    <row r="25" spans="1:16" x14ac:dyDescent="0.25">
      <c r="A25" s="8">
        <v>17</v>
      </c>
      <c r="B25" s="48" t="s">
        <v>72</v>
      </c>
      <c r="C25" s="14">
        <v>700</v>
      </c>
      <c r="D25" s="14">
        <v>30</v>
      </c>
      <c r="E25" s="14">
        <v>600</v>
      </c>
      <c r="F25" s="51"/>
      <c r="G25" s="14" t="s">
        <v>25</v>
      </c>
      <c r="H25" s="15" t="s">
        <v>29</v>
      </c>
      <c r="I25" s="14"/>
      <c r="J25" s="14"/>
      <c r="K25" s="14"/>
      <c r="L25" s="14"/>
      <c r="M25" s="14"/>
      <c r="N25" s="14">
        <v>1</v>
      </c>
      <c r="O25" s="14">
        <v>1</v>
      </c>
      <c r="P25" s="14"/>
    </row>
    <row r="26" spans="1:16" ht="15.75" thickBot="1" x14ac:dyDescent="0.3">
      <c r="A26" s="8">
        <v>18</v>
      </c>
      <c r="B26" s="49" t="s">
        <v>73</v>
      </c>
      <c r="C26" s="14">
        <v>700</v>
      </c>
      <c r="D26" s="14" t="s">
        <v>87</v>
      </c>
      <c r="E26" s="14">
        <v>600</v>
      </c>
      <c r="F26" s="52"/>
      <c r="G26" s="14" t="s">
        <v>25</v>
      </c>
      <c r="H26" s="15" t="s">
        <v>29</v>
      </c>
      <c r="I26" s="14"/>
      <c r="J26" s="14"/>
      <c r="K26" s="14"/>
      <c r="L26" s="14"/>
      <c r="M26" s="14"/>
      <c r="N26" s="14">
        <v>1</v>
      </c>
      <c r="O26" s="14"/>
      <c r="P26" s="14"/>
    </row>
    <row r="27" spans="1:16" x14ac:dyDescent="0.25"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B28" s="23" t="s">
        <v>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B29" s="1"/>
      <c r="D29" s="1"/>
      <c r="E29" s="1"/>
      <c r="F29" s="1"/>
      <c r="G29" s="1"/>
      <c r="H29" s="1"/>
      <c r="I29" s="1"/>
    </row>
    <row r="30" spans="1:16" x14ac:dyDescent="0.25">
      <c r="A30" t="s">
        <v>37</v>
      </c>
      <c r="B30" s="3"/>
      <c r="G30" s="3"/>
      <c r="H30" s="1"/>
      <c r="I30" s="1"/>
      <c r="J30" s="64" t="s">
        <v>38</v>
      </c>
      <c r="K30" s="64"/>
      <c r="L30" s="14" t="s">
        <v>39</v>
      </c>
      <c r="M30" s="14" t="s">
        <v>40</v>
      </c>
      <c r="N30" s="8" t="s">
        <v>41</v>
      </c>
    </row>
    <row r="31" spans="1:16" x14ac:dyDescent="0.25">
      <c r="A31" s="24" t="s">
        <v>38</v>
      </c>
      <c r="B31" s="14" t="s">
        <v>39</v>
      </c>
      <c r="C31" s="14" t="s">
        <v>40</v>
      </c>
      <c r="D31" s="25" t="s">
        <v>41</v>
      </c>
      <c r="G31" s="26"/>
      <c r="I31" s="23" t="s">
        <v>42</v>
      </c>
      <c r="J31" s="27" t="s">
        <v>43</v>
      </c>
      <c r="K31" s="27"/>
      <c r="L31" s="28"/>
      <c r="M31" s="29" t="s">
        <v>44</v>
      </c>
      <c r="N31" s="29" t="s">
        <v>45</v>
      </c>
    </row>
    <row r="32" spans="1:16" x14ac:dyDescent="0.25">
      <c r="A32" s="27" t="s">
        <v>43</v>
      </c>
      <c r="B32" s="29" t="s">
        <v>46</v>
      </c>
      <c r="C32" s="29" t="s">
        <v>44</v>
      </c>
      <c r="D32" s="29" t="s">
        <v>45</v>
      </c>
      <c r="E32" s="30"/>
      <c r="G32" s="31"/>
      <c r="J32" s="32" t="s">
        <v>47</v>
      </c>
      <c r="K32" s="33"/>
      <c r="L32" s="65" t="s">
        <v>46</v>
      </c>
      <c r="M32" s="65"/>
      <c r="N32" s="65"/>
    </row>
    <row r="33" spans="1:14" x14ac:dyDescent="0.25">
      <c r="A33" s="34" t="s">
        <v>48</v>
      </c>
      <c r="B33" s="35" t="s">
        <v>49</v>
      </c>
      <c r="C33" s="29" t="s">
        <v>50</v>
      </c>
      <c r="D33" s="29" t="s">
        <v>51</v>
      </c>
      <c r="E33" s="30"/>
      <c r="G33" s="26"/>
      <c r="J33" s="36" t="s">
        <v>52</v>
      </c>
      <c r="K33" s="37"/>
      <c r="L33" s="66"/>
      <c r="M33" s="66"/>
      <c r="N33" s="66"/>
    </row>
    <row r="34" spans="1:14" x14ac:dyDescent="0.25">
      <c r="A34" s="38" t="s">
        <v>11</v>
      </c>
      <c r="B34" s="35" t="s">
        <v>53</v>
      </c>
      <c r="C34" s="35" t="s">
        <v>54</v>
      </c>
      <c r="D34" s="29"/>
      <c r="E34" s="31"/>
      <c r="G34" s="26"/>
      <c r="J34" s="60" t="s">
        <v>55</v>
      </c>
      <c r="K34" s="61"/>
      <c r="L34" s="29" t="s">
        <v>53</v>
      </c>
      <c r="M34" s="29" t="s">
        <v>54</v>
      </c>
      <c r="N34" s="29"/>
    </row>
    <row r="35" spans="1:14" x14ac:dyDescent="0.25">
      <c r="A35" s="38" t="s">
        <v>55</v>
      </c>
      <c r="B35" s="35" t="s">
        <v>56</v>
      </c>
      <c r="C35" s="35" t="s">
        <v>54</v>
      </c>
      <c r="D35" s="29"/>
      <c r="E35" s="31"/>
      <c r="F35" s="31"/>
      <c r="G35" s="31"/>
      <c r="J35" s="60" t="s">
        <v>11</v>
      </c>
      <c r="K35" s="61"/>
      <c r="L35" s="29" t="s">
        <v>53</v>
      </c>
      <c r="M35" s="29" t="s">
        <v>54</v>
      </c>
      <c r="N35" s="29"/>
    </row>
    <row r="37" spans="1:14" x14ac:dyDescent="0.25">
      <c r="A37" t="s">
        <v>57</v>
      </c>
    </row>
    <row r="38" spans="1:14" x14ac:dyDescent="0.25">
      <c r="A38" s="24" t="s">
        <v>38</v>
      </c>
      <c r="B38" s="14" t="s">
        <v>39</v>
      </c>
      <c r="C38" s="14" t="s">
        <v>40</v>
      </c>
      <c r="D38" s="25" t="s">
        <v>41</v>
      </c>
      <c r="I38" t="s">
        <v>83</v>
      </c>
      <c r="J38" t="s">
        <v>84</v>
      </c>
    </row>
    <row r="39" spans="1:14" x14ac:dyDescent="0.25">
      <c r="A39" s="27" t="s">
        <v>43</v>
      </c>
      <c r="B39" s="29" t="s">
        <v>46</v>
      </c>
      <c r="C39" s="29" t="s">
        <v>44</v>
      </c>
      <c r="D39" s="29" t="s">
        <v>45</v>
      </c>
    </row>
    <row r="40" spans="1:14" x14ac:dyDescent="0.25">
      <c r="A40" s="34" t="s">
        <v>48</v>
      </c>
      <c r="B40" s="35" t="s">
        <v>58</v>
      </c>
      <c r="C40" s="29" t="s">
        <v>50</v>
      </c>
      <c r="D40" s="29" t="s">
        <v>51</v>
      </c>
    </row>
    <row r="41" spans="1:14" x14ac:dyDescent="0.25">
      <c r="A41" s="38" t="s">
        <v>11</v>
      </c>
      <c r="B41" s="35" t="s">
        <v>49</v>
      </c>
      <c r="C41" s="35" t="s">
        <v>54</v>
      </c>
      <c r="D41" s="29"/>
    </row>
    <row r="42" spans="1:14" x14ac:dyDescent="0.25">
      <c r="A42" s="38" t="s">
        <v>55</v>
      </c>
      <c r="B42" s="35" t="s">
        <v>56</v>
      </c>
      <c r="C42" s="35" t="s">
        <v>54</v>
      </c>
      <c r="D42" s="29"/>
    </row>
  </sheetData>
  <mergeCells count="21">
    <mergeCell ref="J35:K35"/>
    <mergeCell ref="J4:L4"/>
    <mergeCell ref="M4:N4"/>
    <mergeCell ref="O4:O5"/>
    <mergeCell ref="P4:P5"/>
    <mergeCell ref="I18:P18"/>
    <mergeCell ref="J30:K30"/>
    <mergeCell ref="L32:L33"/>
    <mergeCell ref="M32:M33"/>
    <mergeCell ref="N32:N33"/>
    <mergeCell ref="J34:K34"/>
    <mergeCell ref="F20:F26"/>
    <mergeCell ref="A1:P1"/>
    <mergeCell ref="C3:D3"/>
    <mergeCell ref="J3:N3"/>
    <mergeCell ref="A4:A6"/>
    <mergeCell ref="B4:C5"/>
    <mergeCell ref="D4:D5"/>
    <mergeCell ref="E4:E5"/>
    <mergeCell ref="G4:G6"/>
    <mergeCell ref="H4:H6"/>
  </mergeCells>
  <pageMargins left="0.70866141732283472" right="0.70866141732283472" top="0.74803149606299213" bottom="0.74803149606299213" header="0.31496062992125984" footer="0.31496062992125984"/>
  <pageSetup paperSize="9" scale="78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selection sqref="A1:O35"/>
    </sheetView>
  </sheetViews>
  <sheetFormatPr defaultColWidth="8.85546875" defaultRowHeight="15" x14ac:dyDescent="0.25"/>
  <sheetData>
    <row r="1" spans="1:12" x14ac:dyDescent="0.25">
      <c r="A1" s="67"/>
      <c r="B1" s="68" t="s">
        <v>88</v>
      </c>
      <c r="C1" s="68"/>
      <c r="D1" s="68"/>
      <c r="E1" s="68"/>
      <c r="F1" s="68"/>
      <c r="G1" s="68"/>
      <c r="H1" s="68"/>
      <c r="I1" s="68"/>
      <c r="J1" s="68"/>
      <c r="K1" s="68"/>
    </row>
    <row r="2" spans="1:12" x14ac:dyDescent="0.25">
      <c r="A2" s="67"/>
    </row>
    <row r="3" spans="1:12" ht="15.75" thickBot="1" x14ac:dyDescent="0.3">
      <c r="B3" s="69" t="s">
        <v>89</v>
      </c>
      <c r="C3" s="69" t="s">
        <v>90</v>
      </c>
      <c r="D3" s="69" t="s">
        <v>91</v>
      </c>
      <c r="E3" s="69" t="s">
        <v>90</v>
      </c>
      <c r="F3" s="69" t="s">
        <v>92</v>
      </c>
      <c r="G3" s="69" t="s">
        <v>90</v>
      </c>
      <c r="H3" s="69" t="s">
        <v>93</v>
      </c>
      <c r="I3" s="69" t="s">
        <v>90</v>
      </c>
      <c r="J3" s="69" t="s">
        <v>94</v>
      </c>
      <c r="K3" s="69" t="s">
        <v>90</v>
      </c>
    </row>
    <row r="4" spans="1:12" ht="16.5" thickTop="1" thickBot="1" x14ac:dyDescent="0.3">
      <c r="A4" s="70" t="s">
        <v>95</v>
      </c>
      <c r="B4" s="71">
        <v>150000</v>
      </c>
      <c r="C4" s="72">
        <v>104.16666666666667</v>
      </c>
      <c r="D4" s="71">
        <v>200000</v>
      </c>
      <c r="E4" s="72">
        <v>138.88888888888889</v>
      </c>
      <c r="F4" s="71">
        <v>250000</v>
      </c>
      <c r="G4" s="72">
        <v>173.61111111111111</v>
      </c>
      <c r="H4" s="71">
        <v>250000</v>
      </c>
      <c r="I4" s="72">
        <v>173.61111111111111</v>
      </c>
      <c r="J4" s="71">
        <v>250000</v>
      </c>
      <c r="K4" s="72">
        <v>173.61111111111111</v>
      </c>
      <c r="L4">
        <f>700*35%</f>
        <v>244.99999999999997</v>
      </c>
    </row>
    <row r="5" spans="1:12" ht="16.5" thickTop="1" thickBot="1" x14ac:dyDescent="0.3">
      <c r="A5" s="70" t="s">
        <v>96</v>
      </c>
      <c r="B5" s="71">
        <v>300000</v>
      </c>
      <c r="C5" s="72">
        <v>208.33333333333334</v>
      </c>
      <c r="D5" s="71">
        <v>350000</v>
      </c>
      <c r="E5" s="72">
        <v>243.05555555555554</v>
      </c>
      <c r="F5" s="71">
        <v>400000</v>
      </c>
      <c r="G5" s="72">
        <v>277.77777777777777</v>
      </c>
      <c r="H5" s="71">
        <v>400000</v>
      </c>
      <c r="I5" s="72">
        <v>277.77777777777777</v>
      </c>
      <c r="J5" s="71">
        <v>400000</v>
      </c>
      <c r="K5" s="72">
        <v>277.77777777777777</v>
      </c>
    </row>
    <row r="6" spans="1:12" ht="16.5" thickTop="1" thickBot="1" x14ac:dyDescent="0.3">
      <c r="A6" s="70" t="s">
        <v>97</v>
      </c>
      <c r="B6" s="71">
        <v>350000</v>
      </c>
      <c r="C6" s="72">
        <v>243.05555555555554</v>
      </c>
      <c r="D6" s="71">
        <v>400000</v>
      </c>
      <c r="E6" s="72">
        <v>277.77777777777777</v>
      </c>
      <c r="F6" s="71">
        <v>450000</v>
      </c>
      <c r="G6" s="72">
        <v>312.5</v>
      </c>
      <c r="H6" s="71">
        <v>450000</v>
      </c>
      <c r="I6" s="72">
        <v>312.5</v>
      </c>
      <c r="J6" s="71">
        <v>550000</v>
      </c>
      <c r="K6" s="72">
        <v>381.94444444444446</v>
      </c>
    </row>
    <row r="7" spans="1:12" ht="16.5" thickTop="1" thickBot="1" x14ac:dyDescent="0.3">
      <c r="A7" s="70" t="s">
        <v>98</v>
      </c>
      <c r="B7" s="71">
        <v>400000</v>
      </c>
      <c r="C7" s="72">
        <v>277.77777777777777</v>
      </c>
      <c r="D7" s="71">
        <v>450000</v>
      </c>
      <c r="E7" s="72">
        <v>312.5</v>
      </c>
      <c r="F7" s="71">
        <v>500000</v>
      </c>
      <c r="G7" s="72">
        <v>347.22222222222223</v>
      </c>
      <c r="H7" s="71">
        <v>500000</v>
      </c>
      <c r="I7" s="72">
        <v>347.22222222222223</v>
      </c>
      <c r="J7" s="71">
        <v>600000</v>
      </c>
      <c r="K7" s="72">
        <v>416.66666666666669</v>
      </c>
    </row>
    <row r="8" spans="1:12" ht="16.5" thickTop="1" thickBot="1" x14ac:dyDescent="0.3">
      <c r="A8" s="70" t="s">
        <v>99</v>
      </c>
      <c r="B8" s="71">
        <v>450000</v>
      </c>
      <c r="C8" s="72">
        <v>312.5</v>
      </c>
      <c r="D8" s="71">
        <v>500000</v>
      </c>
      <c r="E8" s="72">
        <v>347.22222222222223</v>
      </c>
      <c r="F8" s="71">
        <v>550000</v>
      </c>
      <c r="G8" s="72">
        <v>381.94444444444446</v>
      </c>
      <c r="H8" s="71">
        <v>550000</v>
      </c>
      <c r="I8" s="72">
        <v>381.94444444444446</v>
      </c>
      <c r="J8" s="71">
        <v>700000</v>
      </c>
      <c r="K8" s="72">
        <v>486.11111111111109</v>
      </c>
    </row>
    <row r="9" spans="1:12" ht="16.5" thickTop="1" thickBot="1" x14ac:dyDescent="0.3">
      <c r="A9" s="70" t="s">
        <v>100</v>
      </c>
      <c r="B9" s="71">
        <v>600000</v>
      </c>
      <c r="C9" s="72">
        <v>416.66666666666669</v>
      </c>
      <c r="D9" s="71">
        <v>650000</v>
      </c>
      <c r="E9" s="72">
        <v>451.38888888888891</v>
      </c>
      <c r="F9" s="71">
        <v>700000</v>
      </c>
      <c r="G9" s="72">
        <v>486.11111111111109</v>
      </c>
      <c r="H9" s="71">
        <v>700000</v>
      </c>
      <c r="I9" s="72">
        <v>486.11111111111109</v>
      </c>
      <c r="J9" s="71">
        <v>800000</v>
      </c>
      <c r="K9" s="72">
        <v>555.55555555555554</v>
      </c>
    </row>
    <row r="10" spans="1:12" ht="16.5" thickTop="1" thickBot="1" x14ac:dyDescent="0.3">
      <c r="A10" s="70" t="s">
        <v>101</v>
      </c>
      <c r="B10" s="71">
        <v>650000</v>
      </c>
      <c r="C10" s="72">
        <v>451.38888888888891</v>
      </c>
      <c r="D10" s="71">
        <v>700000</v>
      </c>
      <c r="E10" s="72">
        <v>486.11111111111109</v>
      </c>
      <c r="F10" s="71">
        <v>750000</v>
      </c>
      <c r="G10" s="72">
        <v>520.83333333333337</v>
      </c>
      <c r="H10" s="71">
        <v>750000</v>
      </c>
      <c r="I10" s="72">
        <v>520.83333333333337</v>
      </c>
      <c r="J10" s="71">
        <v>800000</v>
      </c>
      <c r="K10" s="72">
        <v>555.55555555555554</v>
      </c>
    </row>
    <row r="11" spans="1:12" ht="16.5" thickTop="1" thickBot="1" x14ac:dyDescent="0.3">
      <c r="A11" s="70" t="s">
        <v>102</v>
      </c>
      <c r="B11" s="71">
        <v>650000</v>
      </c>
      <c r="C11" s="72">
        <v>451.38888888888891</v>
      </c>
      <c r="D11" s="71">
        <v>700000</v>
      </c>
      <c r="E11" s="72">
        <v>486.11111111111109</v>
      </c>
      <c r="F11" s="71">
        <v>750000</v>
      </c>
      <c r="G11" s="72">
        <v>520.83333333333337</v>
      </c>
      <c r="H11" s="71">
        <v>750000</v>
      </c>
      <c r="I11" s="72">
        <v>520.83333333333337</v>
      </c>
      <c r="J11" s="71">
        <v>800000</v>
      </c>
      <c r="K11" s="72">
        <v>555.55555555555554</v>
      </c>
    </row>
    <row r="12" spans="1:12" ht="16.5" thickTop="1" thickBot="1" x14ac:dyDescent="0.3">
      <c r="A12" s="70" t="s">
        <v>103</v>
      </c>
      <c r="B12" s="71">
        <v>650000</v>
      </c>
      <c r="C12" s="72">
        <v>451.38888888888891</v>
      </c>
      <c r="D12" s="71">
        <v>700000</v>
      </c>
      <c r="E12" s="72">
        <v>486.11111111111109</v>
      </c>
      <c r="F12" s="71">
        <v>750000</v>
      </c>
      <c r="G12" s="72">
        <v>520.83333333333337</v>
      </c>
      <c r="H12" s="71">
        <v>750000</v>
      </c>
      <c r="I12" s="72">
        <v>520.83333333333337</v>
      </c>
      <c r="J12" s="71">
        <v>800000</v>
      </c>
      <c r="K12" s="72">
        <v>555.55555555555554</v>
      </c>
    </row>
    <row r="13" spans="1:12" ht="16.5" thickTop="1" thickBot="1" x14ac:dyDescent="0.3">
      <c r="A13" s="70" t="s">
        <v>104</v>
      </c>
      <c r="B13" s="71">
        <v>650000</v>
      </c>
      <c r="C13" s="72">
        <v>451.38888888888891</v>
      </c>
      <c r="D13" s="71">
        <v>700000</v>
      </c>
      <c r="E13" s="72">
        <v>486.11111111111109</v>
      </c>
      <c r="F13" s="71">
        <v>750000</v>
      </c>
      <c r="G13" s="72">
        <v>520.83333333333337</v>
      </c>
      <c r="H13" s="71">
        <v>750000</v>
      </c>
      <c r="I13" s="72">
        <v>520.83333333333337</v>
      </c>
      <c r="J13" s="71">
        <v>800000</v>
      </c>
      <c r="K13" s="72">
        <v>555.55555555555554</v>
      </c>
    </row>
    <row r="14" spans="1:12" ht="16.5" thickTop="1" thickBot="1" x14ac:dyDescent="0.3">
      <c r="A14" s="70" t="s">
        <v>105</v>
      </c>
      <c r="B14" s="71">
        <v>750000</v>
      </c>
      <c r="C14" s="72">
        <v>520.83333333333337</v>
      </c>
      <c r="D14" s="71">
        <v>800000</v>
      </c>
      <c r="E14" s="72">
        <v>555.55555555555554</v>
      </c>
      <c r="F14" s="71">
        <v>750000</v>
      </c>
      <c r="G14" s="72">
        <v>520.83333333333337</v>
      </c>
      <c r="H14" s="71">
        <v>850000</v>
      </c>
      <c r="I14" s="72">
        <v>590.27777777777783</v>
      </c>
      <c r="J14" s="71">
        <v>900000</v>
      </c>
      <c r="K14" s="72">
        <v>625</v>
      </c>
    </row>
    <row r="15" spans="1:12" ht="16.5" thickTop="1" thickBot="1" x14ac:dyDescent="0.3">
      <c r="A15" s="70" t="s">
        <v>106</v>
      </c>
      <c r="B15" s="71">
        <v>750000</v>
      </c>
      <c r="C15" s="72">
        <v>520.83333333333337</v>
      </c>
      <c r="D15" s="71">
        <v>800000</v>
      </c>
      <c r="E15" s="72">
        <v>555.55555555555554</v>
      </c>
      <c r="F15" s="71">
        <v>850000</v>
      </c>
      <c r="G15" s="72">
        <v>590.27777777777783</v>
      </c>
      <c r="H15" s="71">
        <v>850000</v>
      </c>
      <c r="I15" s="72">
        <v>590.27777777777783</v>
      </c>
      <c r="J15" s="71">
        <v>900000</v>
      </c>
      <c r="K15" s="72">
        <v>625</v>
      </c>
    </row>
    <row r="16" spans="1:12" ht="16.5" thickTop="1" thickBot="1" x14ac:dyDescent="0.3">
      <c r="A16" s="70" t="s">
        <v>107</v>
      </c>
      <c r="B16" s="71">
        <v>750000</v>
      </c>
      <c r="C16" s="72">
        <v>520.83333333333337</v>
      </c>
      <c r="D16" s="71">
        <v>800000</v>
      </c>
      <c r="E16" s="72">
        <v>555.55555555555554</v>
      </c>
      <c r="F16" s="71">
        <v>850000</v>
      </c>
      <c r="G16" s="72">
        <v>590.27777777777783</v>
      </c>
      <c r="H16" s="71">
        <v>850000</v>
      </c>
      <c r="I16" s="72">
        <v>590.27777777777783</v>
      </c>
      <c r="J16" s="71">
        <v>900000</v>
      </c>
      <c r="K16" s="72">
        <v>625</v>
      </c>
    </row>
    <row r="17" spans="1:11" ht="16.5" thickTop="1" thickBot="1" x14ac:dyDescent="0.3">
      <c r="A17" s="70" t="s">
        <v>108</v>
      </c>
      <c r="B17" s="71">
        <v>750000</v>
      </c>
      <c r="C17" s="72">
        <v>520.83333333333337</v>
      </c>
      <c r="D17" s="71">
        <v>800000</v>
      </c>
      <c r="E17" s="72">
        <v>555.55555555555554</v>
      </c>
      <c r="F17" s="71">
        <v>850000</v>
      </c>
      <c r="G17" s="72">
        <v>590.27777777777783</v>
      </c>
      <c r="H17" s="71">
        <v>850000</v>
      </c>
      <c r="I17" s="72">
        <v>590.27777777777783</v>
      </c>
      <c r="J17" s="71">
        <v>900000</v>
      </c>
      <c r="K17" s="72">
        <v>625</v>
      </c>
    </row>
    <row r="18" spans="1:11" ht="15.75" thickTop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.75" thickBot="1" x14ac:dyDescent="0.3">
      <c r="B19" s="69" t="s">
        <v>109</v>
      </c>
      <c r="C19" s="69" t="s">
        <v>90</v>
      </c>
      <c r="D19" s="69" t="s">
        <v>110</v>
      </c>
      <c r="E19" s="69" t="s">
        <v>90</v>
      </c>
      <c r="F19" s="69" t="s">
        <v>111</v>
      </c>
      <c r="G19" s="69" t="s">
        <v>90</v>
      </c>
      <c r="H19" s="69" t="s">
        <v>112</v>
      </c>
      <c r="I19" s="69" t="s">
        <v>90</v>
      </c>
      <c r="J19" s="69" t="s">
        <v>113</v>
      </c>
      <c r="K19" s="69" t="s">
        <v>90</v>
      </c>
    </row>
    <row r="20" spans="1:11" ht="16.5" thickTop="1" thickBot="1" x14ac:dyDescent="0.3">
      <c r="A20" s="70" t="s">
        <v>95</v>
      </c>
      <c r="B20" s="71">
        <v>300000</v>
      </c>
      <c r="C20" s="72">
        <v>208.33333333333334</v>
      </c>
      <c r="D20" s="71">
        <v>350000</v>
      </c>
      <c r="E20" s="72">
        <v>243.05555555555554</v>
      </c>
      <c r="F20" s="71">
        <v>450000</v>
      </c>
      <c r="G20" s="72">
        <v>312.5</v>
      </c>
      <c r="H20" s="71">
        <v>450000</v>
      </c>
      <c r="I20" s="72">
        <v>312.5</v>
      </c>
      <c r="J20" s="71">
        <v>450000</v>
      </c>
      <c r="K20" s="72">
        <v>312.5</v>
      </c>
    </row>
    <row r="21" spans="1:11" ht="16.5" thickTop="1" thickBot="1" x14ac:dyDescent="0.3">
      <c r="A21" s="70" t="s">
        <v>96</v>
      </c>
      <c r="B21" s="71">
        <v>400000</v>
      </c>
      <c r="C21" s="72">
        <v>277.77777777777777</v>
      </c>
      <c r="D21" s="71">
        <v>400000</v>
      </c>
      <c r="E21" s="72">
        <v>277.77777777777777</v>
      </c>
      <c r="F21" s="71">
        <v>500000</v>
      </c>
      <c r="G21" s="72">
        <v>347.22222222222223</v>
      </c>
      <c r="H21" s="71">
        <v>600000</v>
      </c>
      <c r="I21" s="72">
        <v>416.66666666666669</v>
      </c>
      <c r="J21" s="71">
        <v>700000</v>
      </c>
      <c r="K21" s="72">
        <v>486.11111111111109</v>
      </c>
    </row>
    <row r="22" spans="1:11" ht="16.5" thickTop="1" thickBot="1" x14ac:dyDescent="0.3">
      <c r="A22" s="70" t="s">
        <v>97</v>
      </c>
      <c r="B22" s="71">
        <v>550000</v>
      </c>
      <c r="C22" s="72">
        <v>381.94444444444446</v>
      </c>
      <c r="D22" s="71">
        <v>600000</v>
      </c>
      <c r="E22" s="72">
        <v>416.66666666666669</v>
      </c>
      <c r="F22" s="71">
        <v>600000</v>
      </c>
      <c r="G22" s="72">
        <v>416.66666666666669</v>
      </c>
      <c r="H22" s="71">
        <v>700000</v>
      </c>
      <c r="I22" s="72">
        <v>486.11111111111109</v>
      </c>
      <c r="J22" s="71">
        <v>700000</v>
      </c>
      <c r="K22" s="72">
        <v>486.11111111111109</v>
      </c>
    </row>
    <row r="23" spans="1:11" ht="16.5" thickTop="1" thickBot="1" x14ac:dyDescent="0.3">
      <c r="A23" s="70" t="s">
        <v>98</v>
      </c>
      <c r="B23" s="71">
        <v>650000</v>
      </c>
      <c r="C23" s="72">
        <v>451.38888888888891</v>
      </c>
      <c r="D23" s="71">
        <v>650000</v>
      </c>
      <c r="E23" s="72">
        <v>451.38888888888891</v>
      </c>
      <c r="F23" s="71">
        <v>700000</v>
      </c>
      <c r="G23" s="72">
        <v>486.11111111111109</v>
      </c>
      <c r="H23" s="71">
        <v>800000</v>
      </c>
      <c r="I23" s="72">
        <v>555.55555555555554</v>
      </c>
      <c r="J23" s="71">
        <v>800000</v>
      </c>
      <c r="K23" s="72">
        <v>555.55555555555554</v>
      </c>
    </row>
    <row r="24" spans="1:11" ht="16.5" thickTop="1" thickBot="1" x14ac:dyDescent="0.3">
      <c r="A24" s="70" t="s">
        <v>99</v>
      </c>
      <c r="B24" s="71">
        <v>700000</v>
      </c>
      <c r="C24" s="72">
        <v>486.11111111111109</v>
      </c>
      <c r="D24" s="71">
        <v>750000</v>
      </c>
      <c r="E24" s="72">
        <v>520.83333333333337</v>
      </c>
      <c r="F24" s="71">
        <v>800000</v>
      </c>
      <c r="G24" s="72">
        <v>555.55555555555554</v>
      </c>
      <c r="H24" s="71">
        <v>800000</v>
      </c>
      <c r="I24" s="72">
        <v>555.55555555555554</v>
      </c>
      <c r="J24" s="71">
        <v>850000</v>
      </c>
      <c r="K24" s="72">
        <v>590.27777777777783</v>
      </c>
    </row>
    <row r="25" spans="1:11" ht="16.5" thickTop="1" thickBot="1" x14ac:dyDescent="0.3">
      <c r="A25" s="70" t="s">
        <v>100</v>
      </c>
      <c r="B25" s="71">
        <v>800000</v>
      </c>
      <c r="C25" s="72">
        <v>555.55555555555554</v>
      </c>
      <c r="D25" s="71">
        <v>800000</v>
      </c>
      <c r="E25" s="72">
        <v>555.55555555555554</v>
      </c>
      <c r="F25" s="71">
        <v>800000</v>
      </c>
      <c r="G25" s="72">
        <v>555.55555555555554</v>
      </c>
      <c r="H25" s="71">
        <v>900000</v>
      </c>
      <c r="I25" s="72">
        <v>625</v>
      </c>
      <c r="J25" s="71">
        <v>1000000</v>
      </c>
      <c r="K25" s="72">
        <v>694.44444444444446</v>
      </c>
    </row>
    <row r="26" spans="1:11" ht="16.5" thickTop="1" thickBot="1" x14ac:dyDescent="0.3">
      <c r="A26" s="70" t="s">
        <v>101</v>
      </c>
      <c r="B26" s="71">
        <v>800000</v>
      </c>
      <c r="C26" s="72">
        <v>555.55555555555554</v>
      </c>
      <c r="D26" s="71">
        <v>800000</v>
      </c>
      <c r="E26" s="72">
        <v>555.55555555555554</v>
      </c>
      <c r="F26" s="71">
        <v>900000</v>
      </c>
      <c r="G26" s="72">
        <v>625</v>
      </c>
      <c r="H26" s="71">
        <v>1000000</v>
      </c>
      <c r="I26" s="72">
        <v>694.44444444444446</v>
      </c>
      <c r="J26" s="71">
        <v>1000000</v>
      </c>
      <c r="K26" s="72">
        <v>694.44444444444446</v>
      </c>
    </row>
    <row r="27" spans="1:11" ht="16.5" thickTop="1" thickBot="1" x14ac:dyDescent="0.3">
      <c r="A27" s="70" t="s">
        <v>102</v>
      </c>
      <c r="B27" s="71">
        <v>800000</v>
      </c>
      <c r="C27" s="72">
        <v>555.55555555555554</v>
      </c>
      <c r="D27" s="71">
        <v>800000</v>
      </c>
      <c r="E27" s="72">
        <v>555.55555555555554</v>
      </c>
      <c r="F27" s="71">
        <v>1000000</v>
      </c>
      <c r="G27" s="72">
        <v>694.44444444444446</v>
      </c>
      <c r="H27" s="71">
        <v>1000000</v>
      </c>
      <c r="I27" s="72">
        <v>694.44444444444446</v>
      </c>
      <c r="J27" s="71">
        <v>1000000</v>
      </c>
      <c r="K27" s="72">
        <v>694.44444444444446</v>
      </c>
    </row>
    <row r="28" spans="1:11" ht="16.5" thickTop="1" thickBot="1" x14ac:dyDescent="0.3">
      <c r="A28" s="70" t="s">
        <v>103</v>
      </c>
      <c r="B28" s="71">
        <v>900000</v>
      </c>
      <c r="C28" s="72">
        <v>625</v>
      </c>
      <c r="D28" s="71">
        <v>900000</v>
      </c>
      <c r="E28" s="72">
        <v>625</v>
      </c>
      <c r="F28" s="71">
        <v>1000000</v>
      </c>
      <c r="G28" s="72">
        <v>694.44444444444446</v>
      </c>
      <c r="H28" s="71">
        <v>1000000</v>
      </c>
      <c r="I28" s="72">
        <v>694.44444444444446</v>
      </c>
      <c r="J28" s="71">
        <v>1000000</v>
      </c>
      <c r="K28" s="72">
        <v>694.44444444444446</v>
      </c>
    </row>
    <row r="29" spans="1:11" ht="16.5" thickTop="1" thickBot="1" x14ac:dyDescent="0.3">
      <c r="A29" s="70" t="s">
        <v>104</v>
      </c>
      <c r="B29" s="71">
        <v>900000</v>
      </c>
      <c r="C29" s="72">
        <v>625</v>
      </c>
      <c r="D29" s="71">
        <v>900000</v>
      </c>
      <c r="E29" s="72">
        <v>625</v>
      </c>
      <c r="F29" s="71">
        <v>1000000</v>
      </c>
      <c r="G29" s="72">
        <v>694.44444444444446</v>
      </c>
      <c r="H29" s="71">
        <v>1000000</v>
      </c>
      <c r="I29" s="72">
        <v>694.44444444444446</v>
      </c>
      <c r="J29" s="71">
        <v>1050000</v>
      </c>
      <c r="K29" s="72">
        <v>729.16666666666663</v>
      </c>
    </row>
    <row r="30" spans="1:11" ht="16.5" thickTop="1" thickBot="1" x14ac:dyDescent="0.3">
      <c r="A30" s="70" t="s">
        <v>105</v>
      </c>
      <c r="B30" s="71">
        <v>900000</v>
      </c>
      <c r="C30" s="72">
        <v>625</v>
      </c>
      <c r="D30" s="71">
        <v>900000</v>
      </c>
      <c r="E30" s="72">
        <v>625</v>
      </c>
      <c r="F30" s="71">
        <v>1000000</v>
      </c>
      <c r="G30" s="72">
        <v>694.44444444444446</v>
      </c>
      <c r="H30" s="71">
        <v>1100000</v>
      </c>
      <c r="I30" s="72">
        <v>763.88888888888891</v>
      </c>
      <c r="J30" s="71">
        <v>1100000</v>
      </c>
      <c r="K30" s="72">
        <v>763.88888888888891</v>
      </c>
    </row>
    <row r="31" spans="1:11" ht="16.5" thickTop="1" thickBot="1" x14ac:dyDescent="0.3">
      <c r="A31" s="70" t="s">
        <v>106</v>
      </c>
      <c r="B31" s="71">
        <v>900000</v>
      </c>
      <c r="C31" s="72">
        <v>625</v>
      </c>
      <c r="D31" s="71">
        <v>950000</v>
      </c>
      <c r="E31" s="72">
        <v>659.72222222222217</v>
      </c>
      <c r="F31" s="71">
        <v>1000000</v>
      </c>
      <c r="G31" s="72">
        <v>694.44444444444446</v>
      </c>
      <c r="H31" s="71">
        <v>1100000</v>
      </c>
      <c r="I31" s="72">
        <v>763.88888888888891</v>
      </c>
      <c r="J31" s="71">
        <v>1100000</v>
      </c>
      <c r="K31" s="72">
        <v>763.88888888888891</v>
      </c>
    </row>
    <row r="32" spans="1:11" ht="16.5" thickTop="1" thickBot="1" x14ac:dyDescent="0.3">
      <c r="A32" s="70" t="s">
        <v>107</v>
      </c>
      <c r="B32" s="71">
        <v>900000</v>
      </c>
      <c r="C32" s="72">
        <v>625</v>
      </c>
      <c r="D32" s="71">
        <v>1000000</v>
      </c>
      <c r="E32" s="72">
        <v>694.44444444444446</v>
      </c>
      <c r="F32" s="71">
        <v>1100000</v>
      </c>
      <c r="G32" s="72">
        <v>763.88888888888891</v>
      </c>
      <c r="H32" s="71">
        <v>1100000</v>
      </c>
      <c r="I32" s="72">
        <v>763.88888888888891</v>
      </c>
      <c r="J32" s="71">
        <v>1100000</v>
      </c>
      <c r="K32" s="72">
        <v>763.88888888888891</v>
      </c>
    </row>
    <row r="33" spans="1:11" ht="16.5" thickTop="1" thickBot="1" x14ac:dyDescent="0.3">
      <c r="A33" s="70" t="s">
        <v>108</v>
      </c>
      <c r="B33" s="71">
        <v>950000</v>
      </c>
      <c r="C33" s="72">
        <v>659.72222222222217</v>
      </c>
      <c r="D33" s="71">
        <v>1000000</v>
      </c>
      <c r="E33" s="72">
        <v>694.44444444444446</v>
      </c>
      <c r="F33" s="71">
        <v>1100000</v>
      </c>
      <c r="G33" s="72">
        <v>763.88888888888891</v>
      </c>
      <c r="H33" s="71">
        <v>1100000</v>
      </c>
      <c r="I33" s="72">
        <v>763.88888888888891</v>
      </c>
      <c r="J33" s="71">
        <v>1100000</v>
      </c>
      <c r="K33" s="72">
        <v>763.88888888888891</v>
      </c>
    </row>
    <row r="34" spans="1:11" ht="15.75" thickTop="1" x14ac:dyDescent="0.25"/>
  </sheetData>
  <mergeCells count="1">
    <mergeCell ref="B1:K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8D81-B310-464F-9B7E-563A37706EFD}">
  <sheetPr>
    <pageSetUpPr fitToPage="1"/>
  </sheetPr>
  <dimension ref="A1:AE49"/>
  <sheetViews>
    <sheetView tabSelected="1" topLeftCell="A10" zoomScale="80" zoomScaleNormal="80" workbookViewId="0">
      <selection activeCell="C33" sqref="C33"/>
    </sheetView>
  </sheetViews>
  <sheetFormatPr defaultRowHeight="15" x14ac:dyDescent="0.25"/>
  <cols>
    <col min="1" max="1" width="16.7109375" customWidth="1"/>
    <col min="2" max="2" width="6.7109375" customWidth="1"/>
    <col min="3" max="3" width="16.7109375" customWidth="1"/>
    <col min="4" max="4" width="6.7109375" customWidth="1"/>
    <col min="5" max="5" width="16.7109375" customWidth="1"/>
    <col min="6" max="6" width="10.85546875" bestFit="1" customWidth="1"/>
    <col min="7" max="7" width="16.7109375" customWidth="1"/>
    <col min="8" max="8" width="6.7109375" customWidth="1"/>
    <col min="9" max="9" width="16.7109375" customWidth="1"/>
    <col min="10" max="10" width="10.85546875" bestFit="1" customWidth="1"/>
    <col min="11" max="11" width="16.7109375" customWidth="1"/>
    <col min="12" max="12" width="6.7109375" customWidth="1"/>
    <col min="13" max="13" width="16.7109375" customWidth="1"/>
    <col min="14" max="14" width="6.7109375" customWidth="1"/>
    <col min="15" max="15" width="16.7109375" customWidth="1"/>
    <col min="16" max="16" width="6.7109375" customWidth="1"/>
    <col min="17" max="17" width="16.7109375" customWidth="1"/>
    <col min="18" max="18" width="6.7109375" customWidth="1"/>
    <col min="19" max="19" width="16.7109375" customWidth="1"/>
    <col min="20" max="20" width="6.7109375" customWidth="1"/>
    <col min="21" max="21" width="16.7109375" customWidth="1"/>
    <col min="22" max="22" width="6.7109375" customWidth="1"/>
    <col min="23" max="23" width="16.7109375" customWidth="1"/>
    <col min="24" max="24" width="6.7109375" customWidth="1"/>
    <col min="25" max="26" width="16.7109375" customWidth="1"/>
    <col min="27" max="27" width="21" bestFit="1" customWidth="1"/>
    <col min="30" max="30" width="12.5703125" style="75" bestFit="1" customWidth="1"/>
    <col min="31" max="31" width="11.5703125" style="75" bestFit="1" customWidth="1"/>
  </cols>
  <sheetData>
    <row r="1" spans="1:30" ht="23.25" x14ac:dyDescent="0.35">
      <c r="A1" s="73" t="s">
        <v>114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4"/>
    </row>
    <row r="2" spans="1:30" ht="23.25" x14ac:dyDescent="0.35">
      <c r="A2" s="76"/>
      <c r="B2" s="76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6"/>
      <c r="X2" s="76"/>
      <c r="Y2" s="77"/>
      <c r="Z2" s="77"/>
      <c r="AA2" s="77"/>
    </row>
    <row r="3" spans="1:30" ht="23.25" x14ac:dyDescent="0.35">
      <c r="A3" s="78"/>
      <c r="B3" s="79" t="s">
        <v>115</v>
      </c>
      <c r="C3" s="80"/>
      <c r="D3" s="79" t="s">
        <v>116</v>
      </c>
      <c r="E3" s="80"/>
      <c r="F3" s="79" t="s">
        <v>115</v>
      </c>
      <c r="G3" s="80"/>
      <c r="H3" s="79" t="s">
        <v>116</v>
      </c>
      <c r="I3" s="80"/>
      <c r="J3" s="79" t="s">
        <v>115</v>
      </c>
      <c r="K3" s="80"/>
      <c r="L3" s="79" t="s">
        <v>116</v>
      </c>
      <c r="M3" s="80"/>
      <c r="N3" s="79" t="s">
        <v>115</v>
      </c>
      <c r="O3" s="80"/>
      <c r="P3" s="79" t="s">
        <v>116</v>
      </c>
      <c r="Q3" s="80"/>
      <c r="R3" s="79" t="s">
        <v>115</v>
      </c>
      <c r="S3" s="80"/>
      <c r="T3" s="79" t="s">
        <v>116</v>
      </c>
      <c r="U3" s="80"/>
      <c r="V3" s="79" t="s">
        <v>115</v>
      </c>
      <c r="W3" s="80"/>
      <c r="X3" s="79" t="s">
        <v>116</v>
      </c>
      <c r="Y3" s="80"/>
      <c r="Z3" s="81"/>
      <c r="AA3" s="82"/>
    </row>
    <row r="4" spans="1:30" ht="23.25" x14ac:dyDescent="0.35">
      <c r="A4" s="83" t="s">
        <v>117</v>
      </c>
      <c r="B4" s="79" t="s">
        <v>49</v>
      </c>
      <c r="C4" s="80"/>
      <c r="D4" s="79" t="s">
        <v>56</v>
      </c>
      <c r="E4" s="80"/>
      <c r="F4" s="79" t="s">
        <v>118</v>
      </c>
      <c r="G4" s="80"/>
      <c r="H4" s="79" t="s">
        <v>119</v>
      </c>
      <c r="I4" s="80"/>
      <c r="J4" s="79" t="s">
        <v>54</v>
      </c>
      <c r="K4" s="80"/>
      <c r="L4" s="79" t="s">
        <v>120</v>
      </c>
      <c r="M4" s="80"/>
      <c r="N4" s="79" t="s">
        <v>121</v>
      </c>
      <c r="O4" s="80"/>
      <c r="P4" s="79" t="s">
        <v>122</v>
      </c>
      <c r="Q4" s="80"/>
      <c r="R4" s="79" t="s">
        <v>123</v>
      </c>
      <c r="S4" s="80"/>
      <c r="T4" s="79" t="s">
        <v>124</v>
      </c>
      <c r="U4" s="80"/>
      <c r="V4" s="79" t="s">
        <v>125</v>
      </c>
      <c r="W4" s="80"/>
      <c r="X4" s="79" t="s">
        <v>58</v>
      </c>
      <c r="Y4" s="80"/>
      <c r="Z4" s="81" t="s">
        <v>126</v>
      </c>
      <c r="AA4" s="82"/>
    </row>
    <row r="5" spans="1:30" ht="23.25" x14ac:dyDescent="0.35">
      <c r="A5" s="83" t="s">
        <v>127</v>
      </c>
      <c r="B5" s="83"/>
      <c r="C5" s="84"/>
      <c r="D5" s="84"/>
      <c r="E5" s="84"/>
      <c r="F5" s="84"/>
      <c r="G5" s="84"/>
      <c r="H5" s="84" t="s">
        <v>128</v>
      </c>
      <c r="I5" s="84">
        <v>0.6</v>
      </c>
      <c r="J5" s="84"/>
      <c r="K5" s="84"/>
      <c r="L5" s="84" t="s">
        <v>129</v>
      </c>
      <c r="M5" s="84">
        <v>0.6</v>
      </c>
      <c r="N5" s="84"/>
      <c r="O5" s="84"/>
      <c r="P5" s="84" t="s">
        <v>128</v>
      </c>
      <c r="Q5" s="84">
        <v>0.6</v>
      </c>
      <c r="R5" s="84"/>
      <c r="S5" s="84"/>
      <c r="T5" s="84" t="s">
        <v>128</v>
      </c>
      <c r="U5" s="84">
        <v>0.8</v>
      </c>
      <c r="V5" s="84"/>
      <c r="W5" s="84"/>
      <c r="X5" s="84" t="s">
        <v>128</v>
      </c>
      <c r="Y5" s="84">
        <v>0.8</v>
      </c>
      <c r="Z5" s="84"/>
      <c r="AA5" s="85"/>
      <c r="AB5" t="s">
        <v>128</v>
      </c>
      <c r="AC5">
        <f>((0.6*3)+(0.8*5)+(0.9*6)+(1*3)*(0.9*2))</f>
        <v>16.600000000000001</v>
      </c>
    </row>
    <row r="6" spans="1:30" ht="23.25" x14ac:dyDescent="0.35">
      <c r="A6" s="83" t="s">
        <v>130</v>
      </c>
      <c r="B6" s="83"/>
      <c r="C6" s="84"/>
      <c r="D6" s="84" t="s">
        <v>128</v>
      </c>
      <c r="E6" s="84">
        <v>0.8</v>
      </c>
      <c r="F6" s="84"/>
      <c r="G6" s="84"/>
      <c r="H6" s="84" t="s">
        <v>128</v>
      </c>
      <c r="I6" s="84">
        <v>0.8</v>
      </c>
      <c r="J6" s="84"/>
      <c r="K6" s="84"/>
      <c r="L6" s="84" t="s">
        <v>129</v>
      </c>
      <c r="M6" s="84">
        <v>0.8</v>
      </c>
      <c r="N6" s="84"/>
      <c r="O6" s="84"/>
      <c r="P6" s="84" t="s">
        <v>128</v>
      </c>
      <c r="Q6" s="84">
        <v>0.9</v>
      </c>
      <c r="R6" s="84"/>
      <c r="S6" s="84"/>
      <c r="T6" s="84" t="s">
        <v>128</v>
      </c>
      <c r="U6" s="84">
        <v>0.9</v>
      </c>
      <c r="V6" s="84"/>
      <c r="W6" s="84"/>
      <c r="X6" s="84" t="s">
        <v>128</v>
      </c>
      <c r="Y6" s="84">
        <v>0.9</v>
      </c>
      <c r="Z6" s="84"/>
      <c r="AA6" s="85"/>
      <c r="AB6" t="s">
        <v>131</v>
      </c>
      <c r="AC6">
        <f>((1.3*3)+(1.4*3))</f>
        <v>8.1</v>
      </c>
    </row>
    <row r="7" spans="1:30" ht="23.25" x14ac:dyDescent="0.35">
      <c r="A7" s="83" t="s">
        <v>132</v>
      </c>
      <c r="B7" s="78" t="s">
        <v>133</v>
      </c>
      <c r="C7" s="84">
        <v>0.4</v>
      </c>
      <c r="D7" s="84" t="s">
        <v>128</v>
      </c>
      <c r="E7" s="84">
        <v>0.9</v>
      </c>
      <c r="F7" s="84" t="s">
        <v>133</v>
      </c>
      <c r="G7" s="84">
        <v>0.4</v>
      </c>
      <c r="H7" s="84" t="s">
        <v>128</v>
      </c>
      <c r="I7" s="84">
        <v>0.9</v>
      </c>
      <c r="J7" s="84" t="s">
        <v>133</v>
      </c>
      <c r="K7" s="84">
        <v>0.4</v>
      </c>
      <c r="L7" s="84" t="s">
        <v>129</v>
      </c>
      <c r="M7" s="84">
        <v>0.9</v>
      </c>
      <c r="N7" s="84" t="s">
        <v>133</v>
      </c>
      <c r="O7" s="84">
        <v>0.4</v>
      </c>
      <c r="P7" s="84" t="s">
        <v>128</v>
      </c>
      <c r="Q7" s="84">
        <v>1</v>
      </c>
      <c r="R7" s="84" t="s">
        <v>133</v>
      </c>
      <c r="S7" s="84">
        <v>0.4</v>
      </c>
      <c r="T7" s="84" t="s">
        <v>128</v>
      </c>
      <c r="U7" s="84">
        <v>1</v>
      </c>
      <c r="V7" s="84" t="s">
        <v>133</v>
      </c>
      <c r="W7" s="84">
        <v>0.4</v>
      </c>
      <c r="X7" s="84" t="s">
        <v>128</v>
      </c>
      <c r="Y7" s="84">
        <v>1</v>
      </c>
      <c r="Z7" s="84">
        <v>2.4</v>
      </c>
      <c r="AA7" s="86">
        <f t="shared" ref="AA7:AA17" si="0">SUM(C7,G7,K7,O7,S7,W7)*1000000</f>
        <v>2400000</v>
      </c>
      <c r="AB7" t="s">
        <v>134</v>
      </c>
      <c r="AC7">
        <f>3+3.2+3.6+4+4.6+2.5</f>
        <v>20.9</v>
      </c>
      <c r="AD7" s="75">
        <f>AA7/6/100000</f>
        <v>4</v>
      </c>
    </row>
    <row r="8" spans="1:30" ht="23.25" x14ac:dyDescent="0.35">
      <c r="A8" s="83" t="s">
        <v>135</v>
      </c>
      <c r="B8" s="78" t="s">
        <v>133</v>
      </c>
      <c r="C8" s="84">
        <v>0.5</v>
      </c>
      <c r="D8" s="84" t="s">
        <v>128</v>
      </c>
      <c r="E8" s="84">
        <v>1.1000000000000001</v>
      </c>
      <c r="F8" s="84" t="s">
        <v>133</v>
      </c>
      <c r="G8" s="84">
        <v>0.5</v>
      </c>
      <c r="H8" s="84" t="s">
        <v>128</v>
      </c>
      <c r="I8" s="84">
        <v>1.1000000000000001</v>
      </c>
      <c r="J8" s="84" t="s">
        <v>133</v>
      </c>
      <c r="K8" s="84">
        <v>0.5</v>
      </c>
      <c r="L8" s="84" t="s">
        <v>131</v>
      </c>
      <c r="M8" s="84">
        <v>1.3</v>
      </c>
      <c r="N8" s="84" t="s">
        <v>133</v>
      </c>
      <c r="O8" s="84">
        <v>0.5</v>
      </c>
      <c r="P8" s="84" t="s">
        <v>131</v>
      </c>
      <c r="Q8" s="84">
        <v>1.3</v>
      </c>
      <c r="R8" s="84" t="s">
        <v>133</v>
      </c>
      <c r="S8" s="84">
        <v>0.5</v>
      </c>
      <c r="T8" s="84" t="s">
        <v>131</v>
      </c>
      <c r="U8" s="84">
        <v>1.3</v>
      </c>
      <c r="V8" s="84" t="s">
        <v>133</v>
      </c>
      <c r="W8" s="84">
        <v>0.5</v>
      </c>
      <c r="X8" s="84" t="s">
        <v>131</v>
      </c>
      <c r="Y8" s="84">
        <v>1.4</v>
      </c>
      <c r="Z8" s="84">
        <v>3</v>
      </c>
      <c r="AA8" s="86">
        <f t="shared" si="0"/>
        <v>3000000</v>
      </c>
      <c r="AB8" t="s">
        <v>136</v>
      </c>
      <c r="AC8">
        <f>2.5+25.6+6+6.6</f>
        <v>40.700000000000003</v>
      </c>
      <c r="AD8" s="75">
        <f t="shared" ref="AD8:AD17" si="1">AA8/6/100000</f>
        <v>5</v>
      </c>
    </row>
    <row r="9" spans="1:30" ht="23.25" x14ac:dyDescent="0.35">
      <c r="A9" s="83" t="s">
        <v>137</v>
      </c>
      <c r="B9" s="78" t="s">
        <v>133</v>
      </c>
      <c r="C9" s="84">
        <v>0.6</v>
      </c>
      <c r="D9" s="84" t="s">
        <v>131</v>
      </c>
      <c r="E9" s="84">
        <v>1.4</v>
      </c>
      <c r="F9" s="84" t="s">
        <v>133</v>
      </c>
      <c r="G9" s="84">
        <v>0.6</v>
      </c>
      <c r="H9" s="84" t="s">
        <v>131</v>
      </c>
      <c r="I9" s="84">
        <v>1.4</v>
      </c>
      <c r="J9" s="84" t="s">
        <v>133</v>
      </c>
      <c r="K9" s="84">
        <v>0.8</v>
      </c>
      <c r="L9" s="84" t="s">
        <v>134</v>
      </c>
      <c r="M9" s="84">
        <v>1.5</v>
      </c>
      <c r="N9" s="84" t="s">
        <v>133</v>
      </c>
      <c r="O9" s="84">
        <v>0.8</v>
      </c>
      <c r="P9" s="84" t="s">
        <v>134</v>
      </c>
      <c r="Q9" s="84">
        <v>1.5</v>
      </c>
      <c r="R9" s="84" t="s">
        <v>133</v>
      </c>
      <c r="S9" s="84">
        <v>0.8</v>
      </c>
      <c r="T9" s="84" t="s">
        <v>134</v>
      </c>
      <c r="U9" s="84">
        <v>1.6</v>
      </c>
      <c r="V9" s="84" t="s">
        <v>133</v>
      </c>
      <c r="W9" s="84">
        <v>0.8</v>
      </c>
      <c r="X9" s="84" t="s">
        <v>134</v>
      </c>
      <c r="Y9" s="84">
        <v>1.6</v>
      </c>
      <c r="Z9" s="84">
        <v>4.3999999999999995</v>
      </c>
      <c r="AA9" s="86">
        <f t="shared" si="0"/>
        <v>4399999.9999999991</v>
      </c>
      <c r="AB9" t="s">
        <v>138</v>
      </c>
      <c r="AC9">
        <f>7+7.6+8+9+10+10</f>
        <v>51.6</v>
      </c>
      <c r="AD9" s="75">
        <f t="shared" si="1"/>
        <v>7.3333333333333313</v>
      </c>
    </row>
    <row r="10" spans="1:30" ht="23.25" x14ac:dyDescent="0.35">
      <c r="A10" s="83" t="s">
        <v>96</v>
      </c>
      <c r="B10" s="78" t="s">
        <v>133</v>
      </c>
      <c r="C10" s="84">
        <v>0.9</v>
      </c>
      <c r="D10" s="84" t="s">
        <v>134</v>
      </c>
      <c r="E10" s="84">
        <v>1.8</v>
      </c>
      <c r="F10" s="84" t="s">
        <v>133</v>
      </c>
      <c r="G10" s="84">
        <v>0.9</v>
      </c>
      <c r="H10" s="84" t="s">
        <v>134</v>
      </c>
      <c r="I10" s="84">
        <v>1.8</v>
      </c>
      <c r="J10" s="84" t="s">
        <v>133</v>
      </c>
      <c r="K10" s="84">
        <v>1</v>
      </c>
      <c r="L10" s="84" t="s">
        <v>134</v>
      </c>
      <c r="M10" s="84">
        <v>2</v>
      </c>
      <c r="N10" s="84" t="s">
        <v>133</v>
      </c>
      <c r="O10" s="84">
        <v>1</v>
      </c>
      <c r="P10" s="84" t="s">
        <v>134</v>
      </c>
      <c r="Q10" s="84">
        <v>2</v>
      </c>
      <c r="R10" s="84" t="s">
        <v>133</v>
      </c>
      <c r="S10" s="84">
        <v>1</v>
      </c>
      <c r="T10" s="84" t="s">
        <v>134</v>
      </c>
      <c r="U10" s="84">
        <v>2.2999999999999998</v>
      </c>
      <c r="V10" s="84" t="s">
        <v>133</v>
      </c>
      <c r="W10" s="84">
        <v>1</v>
      </c>
      <c r="X10" s="84" t="s">
        <v>134</v>
      </c>
      <c r="Y10" s="84">
        <v>2.2999999999999998</v>
      </c>
      <c r="Z10" s="84">
        <v>5.8</v>
      </c>
      <c r="AA10" s="86">
        <f t="shared" si="0"/>
        <v>5800000</v>
      </c>
      <c r="AB10" t="s">
        <v>139</v>
      </c>
      <c r="AC10">
        <f>11+11+11+24</f>
        <v>57</v>
      </c>
      <c r="AD10" s="75">
        <f t="shared" si="1"/>
        <v>9.6666666666666661</v>
      </c>
    </row>
    <row r="11" spans="1:30" ht="23.25" x14ac:dyDescent="0.35">
      <c r="A11" s="83" t="s">
        <v>97</v>
      </c>
      <c r="B11" s="78" t="s">
        <v>133</v>
      </c>
      <c r="C11" s="84">
        <v>1.3</v>
      </c>
      <c r="D11" s="84" t="s">
        <v>134</v>
      </c>
      <c r="E11" s="84">
        <v>2.5</v>
      </c>
      <c r="F11" s="84" t="s">
        <v>133</v>
      </c>
      <c r="G11" s="84">
        <v>1.3</v>
      </c>
      <c r="H11" s="84" t="s">
        <v>136</v>
      </c>
      <c r="I11" s="84">
        <v>2.5</v>
      </c>
      <c r="J11" s="84" t="s">
        <v>133</v>
      </c>
      <c r="K11" s="84">
        <v>1.3</v>
      </c>
      <c r="L11" s="84" t="s">
        <v>136</v>
      </c>
      <c r="M11" s="84">
        <v>2.8</v>
      </c>
      <c r="N11" s="84" t="s">
        <v>133</v>
      </c>
      <c r="O11" s="84">
        <v>1.3</v>
      </c>
      <c r="P11" s="84" t="s">
        <v>136</v>
      </c>
      <c r="Q11" s="84">
        <v>2.8</v>
      </c>
      <c r="R11" s="84" t="s">
        <v>133</v>
      </c>
      <c r="S11" s="84">
        <v>1.3</v>
      </c>
      <c r="T11" s="84" t="s">
        <v>136</v>
      </c>
      <c r="U11" s="84">
        <v>3</v>
      </c>
      <c r="V11" s="84" t="s">
        <v>133</v>
      </c>
      <c r="W11" s="84">
        <v>1.3</v>
      </c>
      <c r="X11" s="84" t="s">
        <v>136</v>
      </c>
      <c r="Y11" s="84">
        <v>3</v>
      </c>
      <c r="Z11" s="84">
        <v>7.8</v>
      </c>
      <c r="AA11" s="86">
        <f t="shared" si="0"/>
        <v>7800000</v>
      </c>
      <c r="AB11" t="s">
        <v>140</v>
      </c>
      <c r="AC11">
        <f>42</f>
        <v>42</v>
      </c>
      <c r="AD11" s="75">
        <f t="shared" si="1"/>
        <v>13</v>
      </c>
    </row>
    <row r="12" spans="1:30" ht="23.25" x14ac:dyDescent="0.35">
      <c r="A12" s="83" t="s">
        <v>141</v>
      </c>
      <c r="B12" s="78" t="s">
        <v>133</v>
      </c>
      <c r="C12" s="84">
        <v>1.5</v>
      </c>
      <c r="D12" s="84" t="s">
        <v>136</v>
      </c>
      <c r="E12" s="84">
        <v>3.3</v>
      </c>
      <c r="F12" s="84" t="s">
        <v>133</v>
      </c>
      <c r="G12" s="84">
        <v>1.5</v>
      </c>
      <c r="H12" s="84" t="s">
        <v>136</v>
      </c>
      <c r="I12" s="84">
        <v>3.3</v>
      </c>
      <c r="J12" s="84" t="s">
        <v>133</v>
      </c>
      <c r="K12" s="84">
        <v>1.5</v>
      </c>
      <c r="L12" s="84" t="s">
        <v>138</v>
      </c>
      <c r="M12" s="84">
        <v>3.5</v>
      </c>
      <c r="N12" s="84" t="s">
        <v>133</v>
      </c>
      <c r="O12" s="84">
        <v>1.5</v>
      </c>
      <c r="P12" s="84" t="s">
        <v>138</v>
      </c>
      <c r="Q12" s="84">
        <v>3.5</v>
      </c>
      <c r="R12" s="84" t="s">
        <v>133</v>
      </c>
      <c r="S12" s="84">
        <v>1.5</v>
      </c>
      <c r="T12" s="84" t="s">
        <v>138</v>
      </c>
      <c r="U12" s="84">
        <v>3.8</v>
      </c>
      <c r="V12" s="84" t="s">
        <v>133</v>
      </c>
      <c r="W12" s="84">
        <v>1.5</v>
      </c>
      <c r="X12" s="84" t="s">
        <v>138</v>
      </c>
      <c r="Y12" s="84">
        <v>3.8</v>
      </c>
      <c r="Z12" s="84">
        <v>9</v>
      </c>
      <c r="AA12" s="86">
        <f t="shared" si="0"/>
        <v>9000000</v>
      </c>
      <c r="AB12" t="s">
        <v>142</v>
      </c>
      <c r="AC12">
        <f>((6.5*12)+(7*6)+(7.5*6)+(8.8*6))</f>
        <v>217.8</v>
      </c>
      <c r="AD12" s="75">
        <f t="shared" si="1"/>
        <v>15</v>
      </c>
    </row>
    <row r="13" spans="1:30" ht="23.25" x14ac:dyDescent="0.35">
      <c r="A13" s="83" t="s">
        <v>99</v>
      </c>
      <c r="B13" s="78" t="s">
        <v>133</v>
      </c>
      <c r="C13" s="84">
        <v>1.8</v>
      </c>
      <c r="D13" s="84" t="s">
        <v>138</v>
      </c>
      <c r="E13" s="84">
        <v>4</v>
      </c>
      <c r="F13" s="84" t="s">
        <v>133</v>
      </c>
      <c r="G13" s="84">
        <v>1.8</v>
      </c>
      <c r="H13" s="84" t="s">
        <v>138</v>
      </c>
      <c r="I13" s="84">
        <v>4</v>
      </c>
      <c r="J13" s="84" t="s">
        <v>133</v>
      </c>
      <c r="K13" s="84">
        <v>1.8</v>
      </c>
      <c r="L13" s="84" t="s">
        <v>138</v>
      </c>
      <c r="M13" s="84">
        <v>4.5</v>
      </c>
      <c r="N13" s="84" t="s">
        <v>133</v>
      </c>
      <c r="O13" s="84">
        <v>1.8</v>
      </c>
      <c r="P13" s="84" t="s">
        <v>138</v>
      </c>
      <c r="Q13" s="84">
        <v>4.5</v>
      </c>
      <c r="R13" s="84" t="s">
        <v>133</v>
      </c>
      <c r="S13" s="84">
        <v>1.8</v>
      </c>
      <c r="T13" s="84" t="s">
        <v>138</v>
      </c>
      <c r="U13" s="84">
        <v>5</v>
      </c>
      <c r="V13" s="84" t="s">
        <v>133</v>
      </c>
      <c r="W13" s="84">
        <v>1.8</v>
      </c>
      <c r="X13" s="84" t="s">
        <v>138</v>
      </c>
      <c r="Y13" s="84">
        <v>5</v>
      </c>
      <c r="Z13" s="84">
        <v>10.8</v>
      </c>
      <c r="AA13" s="86">
        <f t="shared" si="0"/>
        <v>10800000</v>
      </c>
      <c r="AD13" s="75">
        <f t="shared" si="1"/>
        <v>18</v>
      </c>
    </row>
    <row r="14" spans="1:30" ht="23.25" x14ac:dyDescent="0.35">
      <c r="A14" s="83" t="s">
        <v>143</v>
      </c>
      <c r="B14" s="78" t="s">
        <v>133</v>
      </c>
      <c r="C14" s="84">
        <v>1.8</v>
      </c>
      <c r="D14" s="84" t="s">
        <v>138</v>
      </c>
      <c r="E14" s="84">
        <v>5</v>
      </c>
      <c r="F14" s="84" t="s">
        <v>133</v>
      </c>
      <c r="G14" s="84">
        <v>1.8</v>
      </c>
      <c r="H14" s="84" t="s">
        <v>138</v>
      </c>
      <c r="I14" s="84">
        <v>5</v>
      </c>
      <c r="J14" s="84" t="s">
        <v>133</v>
      </c>
      <c r="K14" s="84">
        <v>1.8</v>
      </c>
      <c r="L14" s="84" t="s">
        <v>139</v>
      </c>
      <c r="M14" s="84">
        <v>5.5</v>
      </c>
      <c r="N14" s="84" t="s">
        <v>133</v>
      </c>
      <c r="O14" s="84">
        <v>1.8</v>
      </c>
      <c r="P14" s="84" t="s">
        <v>139</v>
      </c>
      <c r="Q14" s="84">
        <v>5.5</v>
      </c>
      <c r="R14" s="84" t="s">
        <v>133</v>
      </c>
      <c r="S14" s="84">
        <v>1.8</v>
      </c>
      <c r="T14" s="84" t="s">
        <v>139</v>
      </c>
      <c r="U14" s="84">
        <v>5.5</v>
      </c>
      <c r="V14" s="84" t="s">
        <v>133</v>
      </c>
      <c r="W14" s="84">
        <v>1.8</v>
      </c>
      <c r="X14" s="84" t="s">
        <v>139</v>
      </c>
      <c r="Y14" s="84">
        <v>5.5</v>
      </c>
      <c r="Z14" s="84">
        <v>7.8</v>
      </c>
      <c r="AA14" s="86">
        <f t="shared" si="0"/>
        <v>10800000</v>
      </c>
      <c r="AD14" s="75">
        <f t="shared" si="1"/>
        <v>18</v>
      </c>
    </row>
    <row r="15" spans="1:30" ht="23.25" x14ac:dyDescent="0.35">
      <c r="A15" s="83" t="s">
        <v>144</v>
      </c>
      <c r="B15" s="78" t="s">
        <v>133</v>
      </c>
      <c r="C15" s="84">
        <v>1.8</v>
      </c>
      <c r="D15" s="84" t="s">
        <v>139</v>
      </c>
      <c r="E15" s="84">
        <v>5.5</v>
      </c>
      <c r="F15" s="84" t="s">
        <v>133</v>
      </c>
      <c r="G15" s="84">
        <v>1.8</v>
      </c>
      <c r="H15" s="84" t="s">
        <v>139</v>
      </c>
      <c r="I15" s="84">
        <v>5.5</v>
      </c>
      <c r="J15" s="84" t="s">
        <v>133</v>
      </c>
      <c r="K15" s="84">
        <v>1.8</v>
      </c>
      <c r="L15" s="84" t="s">
        <v>139</v>
      </c>
      <c r="M15" s="84">
        <v>6</v>
      </c>
      <c r="N15" s="84" t="s">
        <v>133</v>
      </c>
      <c r="O15" s="84">
        <v>1.8</v>
      </c>
      <c r="P15" s="84" t="s">
        <v>139</v>
      </c>
      <c r="Q15" s="84">
        <v>6</v>
      </c>
      <c r="R15" s="84" t="s">
        <v>133</v>
      </c>
      <c r="S15" s="84">
        <v>1.8</v>
      </c>
      <c r="T15" s="84" t="s">
        <v>139</v>
      </c>
      <c r="U15" s="84">
        <v>6</v>
      </c>
      <c r="V15" s="84" t="s">
        <v>133</v>
      </c>
      <c r="W15" s="84">
        <v>1.8</v>
      </c>
      <c r="X15" s="84" t="s">
        <v>139</v>
      </c>
      <c r="Y15" s="84">
        <v>6</v>
      </c>
      <c r="Z15" s="84">
        <v>7.8</v>
      </c>
      <c r="AA15" s="86">
        <f t="shared" si="0"/>
        <v>10800000</v>
      </c>
      <c r="AD15" s="75">
        <f t="shared" si="1"/>
        <v>18</v>
      </c>
    </row>
    <row r="16" spans="1:30" ht="23.25" x14ac:dyDescent="0.35">
      <c r="A16" s="83" t="s">
        <v>145</v>
      </c>
      <c r="B16" s="78" t="s">
        <v>133</v>
      </c>
      <c r="C16" s="84">
        <v>1.8</v>
      </c>
      <c r="D16" s="84" t="s">
        <v>140</v>
      </c>
      <c r="E16" s="84">
        <v>6</v>
      </c>
      <c r="F16" s="84" t="s">
        <v>133</v>
      </c>
      <c r="G16" s="84">
        <v>1.8</v>
      </c>
      <c r="H16" s="84" t="s">
        <v>140</v>
      </c>
      <c r="I16" s="84">
        <v>6</v>
      </c>
      <c r="J16" s="84" t="s">
        <v>133</v>
      </c>
      <c r="K16" s="84">
        <v>1.8</v>
      </c>
      <c r="L16" s="84" t="s">
        <v>140</v>
      </c>
      <c r="M16" s="84">
        <v>6</v>
      </c>
      <c r="N16" s="84" t="s">
        <v>133</v>
      </c>
      <c r="O16" s="84">
        <v>1.8</v>
      </c>
      <c r="P16" s="84" t="s">
        <v>140</v>
      </c>
      <c r="Q16" s="84">
        <v>6</v>
      </c>
      <c r="R16" s="84" t="s">
        <v>133</v>
      </c>
      <c r="S16" s="84">
        <v>1.8</v>
      </c>
      <c r="T16" s="84" t="s">
        <v>140</v>
      </c>
      <c r="U16" s="84">
        <v>6</v>
      </c>
      <c r="V16" s="84" t="s">
        <v>133</v>
      </c>
      <c r="W16" s="84">
        <v>1.8</v>
      </c>
      <c r="X16" s="84" t="s">
        <v>140</v>
      </c>
      <c r="Y16" s="84">
        <v>6</v>
      </c>
      <c r="Z16" s="84">
        <v>6</v>
      </c>
      <c r="AA16" s="86">
        <f t="shared" si="0"/>
        <v>10800000</v>
      </c>
      <c r="AD16" s="75">
        <f t="shared" si="1"/>
        <v>18</v>
      </c>
    </row>
    <row r="17" spans="1:30" ht="23.25" x14ac:dyDescent="0.35">
      <c r="A17" s="83" t="s">
        <v>146</v>
      </c>
      <c r="B17" s="78" t="s">
        <v>133</v>
      </c>
      <c r="C17" s="84">
        <v>1.8</v>
      </c>
      <c r="D17" s="84" t="s">
        <v>142</v>
      </c>
      <c r="E17" s="84">
        <v>6.5</v>
      </c>
      <c r="F17" s="84" t="s">
        <v>133</v>
      </c>
      <c r="G17" s="84">
        <v>1.8</v>
      </c>
      <c r="H17" s="84" t="s">
        <v>142</v>
      </c>
      <c r="I17" s="84">
        <v>6.5</v>
      </c>
      <c r="J17" s="84" t="s">
        <v>133</v>
      </c>
      <c r="K17" s="84">
        <v>1.8</v>
      </c>
      <c r="L17" s="84" t="s">
        <v>142</v>
      </c>
      <c r="M17" s="84">
        <v>6.5</v>
      </c>
      <c r="N17" s="84" t="s">
        <v>133</v>
      </c>
      <c r="O17" s="84">
        <v>1.8</v>
      </c>
      <c r="P17" s="84" t="s">
        <v>142</v>
      </c>
      <c r="Q17" s="84">
        <v>6.5</v>
      </c>
      <c r="R17" s="84" t="s">
        <v>133</v>
      </c>
      <c r="S17" s="84">
        <v>1.8</v>
      </c>
      <c r="T17" s="84" t="s">
        <v>142</v>
      </c>
      <c r="U17" s="84">
        <v>6.5</v>
      </c>
      <c r="V17" s="84" t="s">
        <v>133</v>
      </c>
      <c r="W17" s="84">
        <v>1.8</v>
      </c>
      <c r="X17" s="84" t="s">
        <v>142</v>
      </c>
      <c r="Y17" s="84">
        <v>6.5</v>
      </c>
      <c r="Z17" s="84">
        <v>6</v>
      </c>
      <c r="AA17" s="86">
        <f t="shared" si="0"/>
        <v>10800000</v>
      </c>
      <c r="AD17" s="75">
        <f t="shared" si="1"/>
        <v>18</v>
      </c>
    </row>
    <row r="18" spans="1:30" ht="23.25" x14ac:dyDescent="0.35">
      <c r="A18" s="83" t="s">
        <v>147</v>
      </c>
      <c r="B18" s="78" t="s">
        <v>148</v>
      </c>
      <c r="C18" s="84">
        <v>7.5</v>
      </c>
      <c r="D18" s="84" t="s">
        <v>142</v>
      </c>
      <c r="E18" s="84">
        <v>6.5</v>
      </c>
      <c r="F18" s="84" t="s">
        <v>148</v>
      </c>
      <c r="G18" s="84">
        <v>7.5</v>
      </c>
      <c r="H18" s="84" t="s">
        <v>142</v>
      </c>
      <c r="I18" s="84">
        <v>6.5</v>
      </c>
      <c r="J18" s="84" t="s">
        <v>148</v>
      </c>
      <c r="K18" s="84">
        <v>7.5</v>
      </c>
      <c r="L18" s="84" t="s">
        <v>142</v>
      </c>
      <c r="M18" s="84">
        <v>6.5</v>
      </c>
      <c r="N18" s="84" t="s">
        <v>148</v>
      </c>
      <c r="O18" s="84">
        <v>9</v>
      </c>
      <c r="P18" s="84" t="s">
        <v>142</v>
      </c>
      <c r="Q18" s="84">
        <v>6.5</v>
      </c>
      <c r="R18" s="84" t="s">
        <v>148</v>
      </c>
      <c r="S18" s="84">
        <v>9</v>
      </c>
      <c r="T18" s="84" t="s">
        <v>142</v>
      </c>
      <c r="U18" s="84">
        <v>6.5</v>
      </c>
      <c r="V18" s="84" t="s">
        <v>148</v>
      </c>
      <c r="W18" s="84">
        <v>10</v>
      </c>
      <c r="X18" s="84" t="s">
        <v>149</v>
      </c>
      <c r="Y18" s="84">
        <v>6.5</v>
      </c>
      <c r="Z18" s="84">
        <v>50.5</v>
      </c>
      <c r="AA18" s="85">
        <f t="shared" ref="AA18:AA23" si="2">SUM(C18,G18,K18,O18,S18,W18)</f>
        <v>50.5</v>
      </c>
    </row>
    <row r="19" spans="1:30" ht="23.25" x14ac:dyDescent="0.35">
      <c r="A19" s="83" t="s">
        <v>150</v>
      </c>
      <c r="B19" s="78" t="s">
        <v>148</v>
      </c>
      <c r="C19" s="84">
        <v>15</v>
      </c>
      <c r="D19" s="84" t="s">
        <v>142</v>
      </c>
      <c r="E19" s="84">
        <v>7</v>
      </c>
      <c r="F19" s="84" t="s">
        <v>148</v>
      </c>
      <c r="G19" s="84">
        <v>15</v>
      </c>
      <c r="H19" s="84" t="s">
        <v>142</v>
      </c>
      <c r="I19" s="84">
        <v>7</v>
      </c>
      <c r="J19" s="84" t="s">
        <v>148</v>
      </c>
      <c r="K19" s="84">
        <v>15</v>
      </c>
      <c r="L19" s="84" t="s">
        <v>142</v>
      </c>
      <c r="M19" s="84">
        <v>7</v>
      </c>
      <c r="N19" s="84" t="s">
        <v>148</v>
      </c>
      <c r="O19" s="84">
        <v>19.559999999999999</v>
      </c>
      <c r="P19" s="84" t="s">
        <v>142</v>
      </c>
      <c r="Q19" s="84">
        <v>7</v>
      </c>
      <c r="R19" s="84" t="s">
        <v>148</v>
      </c>
      <c r="S19" s="84">
        <v>19.559999999999999</v>
      </c>
      <c r="T19" s="84" t="s">
        <v>142</v>
      </c>
      <c r="U19" s="84">
        <v>7</v>
      </c>
      <c r="V19" s="84" t="s">
        <v>148</v>
      </c>
      <c r="W19" s="84">
        <v>21</v>
      </c>
      <c r="X19" s="84" t="s">
        <v>151</v>
      </c>
      <c r="Y19" s="84">
        <v>7</v>
      </c>
      <c r="Z19" s="84">
        <v>87.6</v>
      </c>
      <c r="AA19" s="85">
        <f t="shared" si="2"/>
        <v>105.12</v>
      </c>
    </row>
    <row r="20" spans="1:30" ht="23.25" x14ac:dyDescent="0.35">
      <c r="A20" s="83" t="s">
        <v>152</v>
      </c>
      <c r="B20" s="78" t="s">
        <v>148</v>
      </c>
      <c r="C20" s="84">
        <v>24</v>
      </c>
      <c r="D20" s="84" t="s">
        <v>142</v>
      </c>
      <c r="E20" s="84">
        <v>7.5</v>
      </c>
      <c r="F20" s="84" t="s">
        <v>148</v>
      </c>
      <c r="G20" s="84">
        <v>24</v>
      </c>
      <c r="H20" s="84" t="s">
        <v>142</v>
      </c>
      <c r="I20" s="84">
        <v>7.5</v>
      </c>
      <c r="J20" s="84" t="s">
        <v>148</v>
      </c>
      <c r="K20" s="84">
        <v>24</v>
      </c>
      <c r="L20" s="84" t="s">
        <v>142</v>
      </c>
      <c r="M20" s="84">
        <v>7.5</v>
      </c>
      <c r="N20" s="84" t="s">
        <v>148</v>
      </c>
      <c r="O20" s="84">
        <v>30</v>
      </c>
      <c r="P20" s="84" t="s">
        <v>142</v>
      </c>
      <c r="Q20" s="84">
        <v>7.5</v>
      </c>
      <c r="R20" s="84" t="s">
        <v>148</v>
      </c>
      <c r="S20" s="84">
        <v>30</v>
      </c>
      <c r="T20" s="84" t="s">
        <v>142</v>
      </c>
      <c r="U20" s="84">
        <v>7.5</v>
      </c>
      <c r="V20" s="84" t="s">
        <v>148</v>
      </c>
      <c r="W20" s="84">
        <v>33</v>
      </c>
      <c r="X20" s="84" t="s">
        <v>153</v>
      </c>
      <c r="Y20" s="84">
        <v>7.5</v>
      </c>
      <c r="Z20" s="84">
        <v>137.5</v>
      </c>
      <c r="AA20" s="85">
        <f t="shared" si="2"/>
        <v>165</v>
      </c>
    </row>
    <row r="21" spans="1:30" ht="23.25" x14ac:dyDescent="0.35">
      <c r="A21" s="83" t="s">
        <v>154</v>
      </c>
      <c r="B21" s="78" t="s">
        <v>148</v>
      </c>
      <c r="C21" s="84">
        <v>37.56</v>
      </c>
      <c r="D21" s="84" t="s">
        <v>142</v>
      </c>
      <c r="E21" s="84">
        <v>8.8000000000000007</v>
      </c>
      <c r="F21" s="84" t="s">
        <v>148</v>
      </c>
      <c r="G21" s="84">
        <v>37.56</v>
      </c>
      <c r="H21" s="84" t="s">
        <v>142</v>
      </c>
      <c r="I21" s="84">
        <v>8.8000000000000007</v>
      </c>
      <c r="J21" s="84" t="s">
        <v>148</v>
      </c>
      <c r="K21" s="84">
        <v>37.56</v>
      </c>
      <c r="L21" s="84" t="s">
        <v>142</v>
      </c>
      <c r="M21" s="84">
        <v>8.8000000000000007</v>
      </c>
      <c r="N21" s="84" t="s">
        <v>148</v>
      </c>
      <c r="O21" s="84">
        <v>43.559999999999995</v>
      </c>
      <c r="P21" s="84" t="s">
        <v>142</v>
      </c>
      <c r="Q21" s="84">
        <v>8.8000000000000007</v>
      </c>
      <c r="R21" s="84" t="s">
        <v>148</v>
      </c>
      <c r="S21" s="84">
        <v>43.559999999999995</v>
      </c>
      <c r="T21" s="84" t="s">
        <v>142</v>
      </c>
      <c r="U21" s="84">
        <v>8.8000000000000007</v>
      </c>
      <c r="V21" s="84" t="s">
        <v>148</v>
      </c>
      <c r="W21" s="84">
        <v>45</v>
      </c>
      <c r="X21" s="84" t="s">
        <v>155</v>
      </c>
      <c r="Y21" s="84">
        <v>8.8000000000000007</v>
      </c>
      <c r="Z21" s="84">
        <v>204.00000000000003</v>
      </c>
      <c r="AA21" s="85">
        <f t="shared" si="2"/>
        <v>244.8</v>
      </c>
    </row>
    <row r="22" spans="1:30" ht="23.25" x14ac:dyDescent="0.35">
      <c r="A22" s="83" t="s">
        <v>156</v>
      </c>
      <c r="B22" s="78" t="s">
        <v>148</v>
      </c>
      <c r="C22" s="84">
        <v>45</v>
      </c>
      <c r="D22" s="84" t="s">
        <v>142</v>
      </c>
      <c r="E22" s="84">
        <v>10</v>
      </c>
      <c r="F22" s="84" t="s">
        <v>148</v>
      </c>
      <c r="G22" s="84">
        <v>45</v>
      </c>
      <c r="H22" s="84" t="s">
        <v>142</v>
      </c>
      <c r="I22" s="84">
        <v>10</v>
      </c>
      <c r="J22" s="84" t="s">
        <v>148</v>
      </c>
      <c r="K22" s="84">
        <v>45</v>
      </c>
      <c r="L22" s="84" t="s">
        <v>142</v>
      </c>
      <c r="M22" s="84">
        <v>10</v>
      </c>
      <c r="N22" s="84" t="s">
        <v>148</v>
      </c>
      <c r="O22" s="84">
        <v>49.559999999999995</v>
      </c>
      <c r="P22" s="84" t="s">
        <v>142</v>
      </c>
      <c r="Q22" s="84">
        <v>10</v>
      </c>
      <c r="R22" s="84" t="s">
        <v>148</v>
      </c>
      <c r="S22" s="84">
        <v>49.559999999999995</v>
      </c>
      <c r="T22" s="84" t="s">
        <v>142</v>
      </c>
      <c r="U22" s="84">
        <v>10</v>
      </c>
      <c r="V22" s="84" t="s">
        <v>148</v>
      </c>
      <c r="W22" s="84">
        <v>51</v>
      </c>
      <c r="X22" s="84" t="s">
        <v>157</v>
      </c>
      <c r="Y22" s="84">
        <v>10</v>
      </c>
      <c r="Z22" s="84">
        <v>237.60000000000002</v>
      </c>
      <c r="AA22" s="85">
        <f t="shared" si="2"/>
        <v>285.12</v>
      </c>
    </row>
    <row r="23" spans="1:30" ht="23.25" x14ac:dyDescent="0.35">
      <c r="A23" s="83" t="s">
        <v>158</v>
      </c>
      <c r="B23" s="78" t="s">
        <v>148</v>
      </c>
      <c r="C23" s="84">
        <v>51</v>
      </c>
      <c r="D23" s="84" t="s">
        <v>142</v>
      </c>
      <c r="E23" s="84">
        <v>12.5</v>
      </c>
      <c r="F23" s="84" t="s">
        <v>148</v>
      </c>
      <c r="G23" s="84">
        <v>51</v>
      </c>
      <c r="H23" s="84" t="s">
        <v>142</v>
      </c>
      <c r="I23" s="84">
        <v>12.5</v>
      </c>
      <c r="J23" s="84" t="s">
        <v>148</v>
      </c>
      <c r="K23" s="84">
        <v>51</v>
      </c>
      <c r="L23" s="84" t="s">
        <v>142</v>
      </c>
      <c r="M23" s="84">
        <v>12.5</v>
      </c>
      <c r="N23" s="84" t="s">
        <v>148</v>
      </c>
      <c r="O23" s="84">
        <v>57</v>
      </c>
      <c r="P23" s="84" t="s">
        <v>142</v>
      </c>
      <c r="Q23" s="84">
        <v>12.5</v>
      </c>
      <c r="R23" s="84" t="s">
        <v>148</v>
      </c>
      <c r="S23" s="84">
        <v>57</v>
      </c>
      <c r="T23" s="84" t="s">
        <v>142</v>
      </c>
      <c r="U23" s="84">
        <v>12.5</v>
      </c>
      <c r="V23" s="84" t="s">
        <v>148</v>
      </c>
      <c r="W23" s="84">
        <v>60</v>
      </c>
      <c r="X23" s="84" t="s">
        <v>159</v>
      </c>
      <c r="Y23" s="84">
        <v>12.5</v>
      </c>
      <c r="Z23" s="84">
        <v>272.5</v>
      </c>
      <c r="AA23" s="85">
        <f t="shared" si="2"/>
        <v>327</v>
      </c>
    </row>
    <row r="24" spans="1:30" x14ac:dyDescent="0.25">
      <c r="C24" s="67">
        <f>SUM(C7:C23)</f>
        <v>194.26</v>
      </c>
      <c r="E24" s="67">
        <f>SUM(E7:E23)</f>
        <v>90.3</v>
      </c>
      <c r="G24" s="67">
        <f>SUM(G7:G23)</f>
        <v>194.26</v>
      </c>
      <c r="I24" s="67">
        <f>SUM(I7:I23)</f>
        <v>90.3</v>
      </c>
      <c r="K24" s="67">
        <f>SUM(K7:K23)</f>
        <v>194.56</v>
      </c>
      <c r="M24" s="67">
        <f>SUM(M7:M23)</f>
        <v>92.8</v>
      </c>
      <c r="O24" s="67">
        <f>SUM(O7:O23)</f>
        <v>223.18</v>
      </c>
      <c r="Q24" s="67">
        <f>SUM(Q7:Q23)</f>
        <v>92.9</v>
      </c>
      <c r="S24" s="67">
        <f>SUM(S7:S23)</f>
        <v>223.18</v>
      </c>
      <c r="U24" s="67">
        <f>SUM(U7:U23)</f>
        <v>94.3</v>
      </c>
      <c r="W24" s="67">
        <f>SUM(W7:W23)</f>
        <v>234.5</v>
      </c>
      <c r="Y24" s="67">
        <f>SUM(Y7:Y23)</f>
        <v>94.4</v>
      </c>
    </row>
    <row r="27" spans="1:30" ht="23.25" x14ac:dyDescent="0.35">
      <c r="A27" s="73" t="s">
        <v>114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30" ht="24" thickBot="1" x14ac:dyDescent="0.4">
      <c r="A28" s="87">
        <v>90000</v>
      </c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6"/>
      <c r="X28" s="76"/>
      <c r="Y28" s="77"/>
      <c r="Z28" s="77"/>
    </row>
    <row r="29" spans="1:30" ht="24" thickTop="1" x14ac:dyDescent="0.35">
      <c r="A29" s="78"/>
      <c r="B29" s="79" t="s">
        <v>115</v>
      </c>
      <c r="C29" s="80"/>
      <c r="D29" s="79" t="s">
        <v>116</v>
      </c>
      <c r="E29" s="80"/>
      <c r="F29" s="79" t="s">
        <v>115</v>
      </c>
      <c r="G29" s="80"/>
      <c r="H29" s="79" t="s">
        <v>116</v>
      </c>
      <c r="I29" s="80"/>
      <c r="J29" s="79" t="s">
        <v>115</v>
      </c>
      <c r="K29" s="80"/>
      <c r="L29" s="79" t="s">
        <v>116</v>
      </c>
      <c r="M29" s="80"/>
      <c r="N29" s="79" t="s">
        <v>115</v>
      </c>
      <c r="O29" s="80"/>
      <c r="P29" s="79" t="s">
        <v>116</v>
      </c>
      <c r="Q29" s="80"/>
      <c r="R29" s="79" t="s">
        <v>115</v>
      </c>
      <c r="S29" s="80"/>
      <c r="T29" s="79" t="s">
        <v>116</v>
      </c>
      <c r="U29" s="80"/>
      <c r="V29" s="79" t="s">
        <v>115</v>
      </c>
      <c r="W29" s="80"/>
      <c r="X29" s="79" t="s">
        <v>116</v>
      </c>
      <c r="Y29" s="80"/>
      <c r="Z29" s="81"/>
    </row>
    <row r="30" spans="1:30" ht="23.25" x14ac:dyDescent="0.35">
      <c r="A30" s="88" t="s">
        <v>117</v>
      </c>
      <c r="B30" s="89" t="s">
        <v>49</v>
      </c>
      <c r="C30" s="90"/>
      <c r="D30" s="89" t="s">
        <v>56</v>
      </c>
      <c r="E30" s="90"/>
      <c r="F30" s="89" t="s">
        <v>118</v>
      </c>
      <c r="G30" s="90"/>
      <c r="H30" s="89" t="s">
        <v>119</v>
      </c>
      <c r="I30" s="90"/>
      <c r="J30" s="89" t="s">
        <v>54</v>
      </c>
      <c r="K30" s="90"/>
      <c r="L30" s="89" t="s">
        <v>120</v>
      </c>
      <c r="M30" s="90"/>
      <c r="N30" s="89" t="s">
        <v>121</v>
      </c>
      <c r="O30" s="90"/>
      <c r="P30" s="89" t="s">
        <v>122</v>
      </c>
      <c r="Q30" s="90"/>
      <c r="R30" s="89" t="s">
        <v>123</v>
      </c>
      <c r="S30" s="90"/>
      <c r="T30" s="89" t="s">
        <v>124</v>
      </c>
      <c r="U30" s="90"/>
      <c r="V30" s="89" t="s">
        <v>125</v>
      </c>
      <c r="W30" s="90"/>
      <c r="X30" s="89" t="s">
        <v>58</v>
      </c>
      <c r="Y30" s="90"/>
      <c r="Z30" s="91" t="s">
        <v>126</v>
      </c>
    </row>
    <row r="31" spans="1:30" ht="23.25" x14ac:dyDescent="0.35">
      <c r="A31" s="92" t="s">
        <v>127</v>
      </c>
      <c r="B31" s="93"/>
      <c r="C31" s="94"/>
      <c r="D31" s="95"/>
      <c r="E31" s="94"/>
      <c r="F31" s="95"/>
      <c r="G31" s="94"/>
      <c r="H31" s="95" t="s">
        <v>128</v>
      </c>
      <c r="I31" s="94">
        <f>I5/100000*A$28</f>
        <v>0.54</v>
      </c>
      <c r="J31" s="95"/>
      <c r="K31" s="94"/>
      <c r="L31" s="95" t="s">
        <v>128</v>
      </c>
      <c r="M31" s="94">
        <f>M5/100000*A$28</f>
        <v>0.54</v>
      </c>
      <c r="N31" s="95"/>
      <c r="O31" s="94"/>
      <c r="P31" s="95" t="s">
        <v>128</v>
      </c>
      <c r="Q31" s="94">
        <f>Q5/100000*A$28</f>
        <v>0.54</v>
      </c>
      <c r="R31" s="95"/>
      <c r="S31" s="94"/>
      <c r="T31" s="95" t="s">
        <v>128</v>
      </c>
      <c r="U31" s="94">
        <f>U5/100000*A$28</f>
        <v>0.72</v>
      </c>
      <c r="V31" s="95"/>
      <c r="W31" s="94"/>
      <c r="X31" s="95" t="s">
        <v>128</v>
      </c>
      <c r="Y31" s="94">
        <f>Y5/100000*A$28</f>
        <v>0.72</v>
      </c>
      <c r="Z31" s="94"/>
    </row>
    <row r="32" spans="1:30" ht="23.25" x14ac:dyDescent="0.35">
      <c r="A32" s="92" t="s">
        <v>130</v>
      </c>
      <c r="B32" s="93"/>
      <c r="C32" s="94"/>
      <c r="D32" s="95" t="s">
        <v>128</v>
      </c>
      <c r="E32" s="94">
        <f>E6/100000*A$28</f>
        <v>0.72</v>
      </c>
      <c r="F32" s="95"/>
      <c r="G32" s="94"/>
      <c r="H32" s="95" t="s">
        <v>128</v>
      </c>
      <c r="I32" s="94">
        <f t="shared" ref="I32:I49" si="3">I6/100000*A$28</f>
        <v>0.72</v>
      </c>
      <c r="J32" s="95"/>
      <c r="K32" s="94"/>
      <c r="L32" s="95" t="s">
        <v>128</v>
      </c>
      <c r="M32" s="94">
        <f t="shared" ref="M32:M49" si="4">M6/100000*A$28</f>
        <v>0.72</v>
      </c>
      <c r="N32" s="95"/>
      <c r="O32" s="94"/>
      <c r="P32" s="95" t="s">
        <v>128</v>
      </c>
      <c r="Q32" s="94">
        <f t="shared" ref="Q32:Q49" si="5">Q6/100000*A$28</f>
        <v>0.81</v>
      </c>
      <c r="R32" s="95"/>
      <c r="S32" s="94"/>
      <c r="T32" s="95" t="s">
        <v>128</v>
      </c>
      <c r="U32" s="94">
        <f t="shared" ref="U32:U49" si="6">U6/100000*A$28</f>
        <v>0.81</v>
      </c>
      <c r="V32" s="95"/>
      <c r="W32" s="94"/>
      <c r="X32" s="95" t="s">
        <v>128</v>
      </c>
      <c r="Y32" s="94">
        <f t="shared" ref="Y32:Y49" si="7">Y6/100000*A$28</f>
        <v>0.81</v>
      </c>
      <c r="Z32" s="94"/>
    </row>
    <row r="33" spans="1:26" ht="23.25" x14ac:dyDescent="0.35">
      <c r="A33" s="92" t="s">
        <v>132</v>
      </c>
      <c r="B33" s="93" t="s">
        <v>133</v>
      </c>
      <c r="C33" s="94">
        <f>C7/100000*A$28</f>
        <v>0.36</v>
      </c>
      <c r="D33" s="95" t="s">
        <v>128</v>
      </c>
      <c r="E33" s="94">
        <f t="shared" ref="E33:E49" si="8">E7/100000*A$28</f>
        <v>0.81</v>
      </c>
      <c r="F33" s="95" t="s">
        <v>133</v>
      </c>
      <c r="G33" s="94">
        <f t="shared" ref="G33:G49" si="9">G7/100000*A$28</f>
        <v>0.36</v>
      </c>
      <c r="H33" s="95" t="s">
        <v>128</v>
      </c>
      <c r="I33" s="94">
        <f t="shared" si="3"/>
        <v>0.81</v>
      </c>
      <c r="J33" s="95" t="s">
        <v>133</v>
      </c>
      <c r="K33" s="94">
        <f>K7/100000*A$28</f>
        <v>0.36</v>
      </c>
      <c r="L33" s="95" t="s">
        <v>128</v>
      </c>
      <c r="M33" s="94">
        <f t="shared" si="4"/>
        <v>0.81</v>
      </c>
      <c r="N33" s="95" t="s">
        <v>133</v>
      </c>
      <c r="O33" s="94">
        <f>O7/100000*A$28</f>
        <v>0.36</v>
      </c>
      <c r="P33" s="95" t="s">
        <v>128</v>
      </c>
      <c r="Q33" s="94">
        <f t="shared" si="5"/>
        <v>0.9</v>
      </c>
      <c r="R33" s="95" t="s">
        <v>133</v>
      </c>
      <c r="S33" s="94">
        <f>S7/100000*A$28</f>
        <v>0.36</v>
      </c>
      <c r="T33" s="95" t="s">
        <v>128</v>
      </c>
      <c r="U33" s="94">
        <f t="shared" si="6"/>
        <v>0.9</v>
      </c>
      <c r="V33" s="95" t="s">
        <v>133</v>
      </c>
      <c r="W33" s="94">
        <f>W7/100000*A$28</f>
        <v>0.36</v>
      </c>
      <c r="X33" s="95" t="s">
        <v>128</v>
      </c>
      <c r="Y33" s="94">
        <f t="shared" si="7"/>
        <v>0.9</v>
      </c>
      <c r="Z33" s="94">
        <f>Z7/100000*A$28</f>
        <v>2.16</v>
      </c>
    </row>
    <row r="34" spans="1:26" ht="23.25" x14ac:dyDescent="0.35">
      <c r="A34" s="92" t="s">
        <v>135</v>
      </c>
      <c r="B34" s="93" t="s">
        <v>133</v>
      </c>
      <c r="C34" s="94">
        <f t="shared" ref="C34:C49" si="10">C8/100000*A$28</f>
        <v>0.45</v>
      </c>
      <c r="D34" s="95" t="s">
        <v>128</v>
      </c>
      <c r="E34" s="94">
        <f t="shared" si="8"/>
        <v>0.9900000000000001</v>
      </c>
      <c r="F34" s="95" t="s">
        <v>133</v>
      </c>
      <c r="G34" s="94">
        <f t="shared" si="9"/>
        <v>0.45</v>
      </c>
      <c r="H34" s="95" t="s">
        <v>128</v>
      </c>
      <c r="I34" s="94">
        <f t="shared" si="3"/>
        <v>0.9900000000000001</v>
      </c>
      <c r="J34" s="95" t="s">
        <v>133</v>
      </c>
      <c r="K34" s="94">
        <f t="shared" ref="K34:K49" si="11">K8/100000*A$28</f>
        <v>0.45</v>
      </c>
      <c r="L34" s="95" t="s">
        <v>131</v>
      </c>
      <c r="M34" s="94">
        <f t="shared" si="4"/>
        <v>1.1700000000000002</v>
      </c>
      <c r="N34" s="95" t="s">
        <v>133</v>
      </c>
      <c r="O34" s="94">
        <f t="shared" ref="O34:O49" si="12">O8/100000*A$28</f>
        <v>0.45</v>
      </c>
      <c r="P34" s="95" t="s">
        <v>131</v>
      </c>
      <c r="Q34" s="94">
        <f t="shared" si="5"/>
        <v>1.1700000000000002</v>
      </c>
      <c r="R34" s="95" t="s">
        <v>133</v>
      </c>
      <c r="S34" s="94">
        <f t="shared" ref="S34:S49" si="13">S8/100000*A$28</f>
        <v>0.45</v>
      </c>
      <c r="T34" s="95" t="s">
        <v>131</v>
      </c>
      <c r="U34" s="94">
        <f t="shared" si="6"/>
        <v>1.1700000000000002</v>
      </c>
      <c r="V34" s="95" t="s">
        <v>133</v>
      </c>
      <c r="W34" s="94">
        <f t="shared" ref="W34:W49" si="14">W8/100000*A$28</f>
        <v>0.45</v>
      </c>
      <c r="X34" s="95" t="s">
        <v>131</v>
      </c>
      <c r="Y34" s="94">
        <f t="shared" si="7"/>
        <v>1.26</v>
      </c>
      <c r="Z34" s="94">
        <f t="shared" ref="Z34:Z49" si="15">Z8/100000*A$28</f>
        <v>2.7</v>
      </c>
    </row>
    <row r="35" spans="1:26" ht="23.25" x14ac:dyDescent="0.35">
      <c r="A35" s="92" t="s">
        <v>137</v>
      </c>
      <c r="B35" s="93" t="s">
        <v>133</v>
      </c>
      <c r="C35" s="94">
        <f t="shared" si="10"/>
        <v>0.54</v>
      </c>
      <c r="D35" s="95" t="s">
        <v>131</v>
      </c>
      <c r="E35" s="94">
        <f t="shared" si="8"/>
        <v>1.26</v>
      </c>
      <c r="F35" s="95" t="s">
        <v>133</v>
      </c>
      <c r="G35" s="94">
        <f t="shared" si="9"/>
        <v>0.54</v>
      </c>
      <c r="H35" s="95" t="s">
        <v>131</v>
      </c>
      <c r="I35" s="94">
        <f t="shared" si="3"/>
        <v>1.26</v>
      </c>
      <c r="J35" s="95" t="s">
        <v>133</v>
      </c>
      <c r="K35" s="94">
        <f t="shared" si="11"/>
        <v>0.72</v>
      </c>
      <c r="L35" s="95" t="s">
        <v>134</v>
      </c>
      <c r="M35" s="94">
        <f t="shared" si="4"/>
        <v>1.35</v>
      </c>
      <c r="N35" s="95" t="s">
        <v>133</v>
      </c>
      <c r="O35" s="94">
        <f t="shared" si="12"/>
        <v>0.72</v>
      </c>
      <c r="P35" s="95" t="s">
        <v>134</v>
      </c>
      <c r="Q35" s="94">
        <f t="shared" si="5"/>
        <v>1.35</v>
      </c>
      <c r="R35" s="95" t="s">
        <v>133</v>
      </c>
      <c r="S35" s="94">
        <f t="shared" si="13"/>
        <v>0.72</v>
      </c>
      <c r="T35" s="95" t="s">
        <v>134</v>
      </c>
      <c r="U35" s="94">
        <f t="shared" si="6"/>
        <v>1.44</v>
      </c>
      <c r="V35" s="95" t="s">
        <v>133</v>
      </c>
      <c r="W35" s="94">
        <f t="shared" si="14"/>
        <v>0.72</v>
      </c>
      <c r="X35" s="95" t="s">
        <v>134</v>
      </c>
      <c r="Y35" s="94">
        <f t="shared" si="7"/>
        <v>1.44</v>
      </c>
      <c r="Z35" s="94">
        <f t="shared" si="15"/>
        <v>3.9599999999999991</v>
      </c>
    </row>
    <row r="36" spans="1:26" ht="23.25" x14ac:dyDescent="0.35">
      <c r="A36" s="92" t="s">
        <v>96</v>
      </c>
      <c r="B36" s="93" t="s">
        <v>133</v>
      </c>
      <c r="C36" s="94">
        <f t="shared" si="10"/>
        <v>0.81</v>
      </c>
      <c r="D36" s="95" t="s">
        <v>134</v>
      </c>
      <c r="E36" s="94">
        <f t="shared" si="8"/>
        <v>1.62</v>
      </c>
      <c r="F36" s="95" t="s">
        <v>133</v>
      </c>
      <c r="G36" s="94">
        <f t="shared" si="9"/>
        <v>0.81</v>
      </c>
      <c r="H36" s="95" t="s">
        <v>134</v>
      </c>
      <c r="I36" s="94">
        <f t="shared" si="3"/>
        <v>1.62</v>
      </c>
      <c r="J36" s="95" t="s">
        <v>133</v>
      </c>
      <c r="K36" s="94">
        <f t="shared" si="11"/>
        <v>0.9</v>
      </c>
      <c r="L36" s="95" t="s">
        <v>134</v>
      </c>
      <c r="M36" s="94">
        <f t="shared" si="4"/>
        <v>1.8</v>
      </c>
      <c r="N36" s="95" t="s">
        <v>133</v>
      </c>
      <c r="O36" s="94">
        <f t="shared" si="12"/>
        <v>0.9</v>
      </c>
      <c r="P36" s="95" t="s">
        <v>134</v>
      </c>
      <c r="Q36" s="94">
        <f t="shared" si="5"/>
        <v>1.8</v>
      </c>
      <c r="R36" s="95" t="s">
        <v>133</v>
      </c>
      <c r="S36" s="94">
        <f t="shared" si="13"/>
        <v>0.9</v>
      </c>
      <c r="T36" s="95" t="s">
        <v>134</v>
      </c>
      <c r="U36" s="94">
        <f t="shared" si="6"/>
        <v>2.0699999999999998</v>
      </c>
      <c r="V36" s="95" t="s">
        <v>133</v>
      </c>
      <c r="W36" s="94">
        <f t="shared" si="14"/>
        <v>0.9</v>
      </c>
      <c r="X36" s="95" t="s">
        <v>134</v>
      </c>
      <c r="Y36" s="94">
        <f t="shared" si="7"/>
        <v>2.0699999999999998</v>
      </c>
      <c r="Z36" s="94">
        <f t="shared" si="15"/>
        <v>5.22</v>
      </c>
    </row>
    <row r="37" spans="1:26" ht="23.25" x14ac:dyDescent="0.35">
      <c r="A37" s="92" t="s">
        <v>97</v>
      </c>
      <c r="B37" s="93" t="s">
        <v>133</v>
      </c>
      <c r="C37" s="94">
        <f t="shared" si="10"/>
        <v>1.1700000000000002</v>
      </c>
      <c r="D37" s="95" t="s">
        <v>134</v>
      </c>
      <c r="E37" s="94">
        <f t="shared" si="8"/>
        <v>2.25</v>
      </c>
      <c r="F37" s="95" t="s">
        <v>133</v>
      </c>
      <c r="G37" s="94">
        <f t="shared" si="9"/>
        <v>1.1700000000000002</v>
      </c>
      <c r="H37" s="95" t="s">
        <v>136</v>
      </c>
      <c r="I37" s="94">
        <f t="shared" si="3"/>
        <v>2.25</v>
      </c>
      <c r="J37" s="95" t="s">
        <v>133</v>
      </c>
      <c r="K37" s="94">
        <f t="shared" si="11"/>
        <v>1.1700000000000002</v>
      </c>
      <c r="L37" s="95" t="s">
        <v>136</v>
      </c>
      <c r="M37" s="94">
        <f t="shared" si="4"/>
        <v>2.52</v>
      </c>
      <c r="N37" s="95" t="s">
        <v>133</v>
      </c>
      <c r="O37" s="94">
        <f t="shared" si="12"/>
        <v>1.1700000000000002</v>
      </c>
      <c r="P37" s="95" t="s">
        <v>136</v>
      </c>
      <c r="Q37" s="94">
        <f t="shared" si="5"/>
        <v>2.52</v>
      </c>
      <c r="R37" s="95" t="s">
        <v>133</v>
      </c>
      <c r="S37" s="94">
        <f t="shared" si="13"/>
        <v>1.1700000000000002</v>
      </c>
      <c r="T37" s="95" t="s">
        <v>136</v>
      </c>
      <c r="U37" s="94">
        <f t="shared" si="6"/>
        <v>2.7</v>
      </c>
      <c r="V37" s="95" t="s">
        <v>133</v>
      </c>
      <c r="W37" s="94">
        <f t="shared" si="14"/>
        <v>1.1700000000000002</v>
      </c>
      <c r="X37" s="95" t="s">
        <v>136</v>
      </c>
      <c r="Y37" s="94">
        <f t="shared" si="7"/>
        <v>2.7</v>
      </c>
      <c r="Z37" s="94">
        <f t="shared" si="15"/>
        <v>7.02</v>
      </c>
    </row>
    <row r="38" spans="1:26" ht="23.25" x14ac:dyDescent="0.35">
      <c r="A38" s="92" t="s">
        <v>141</v>
      </c>
      <c r="B38" s="93" t="s">
        <v>133</v>
      </c>
      <c r="C38" s="94">
        <f t="shared" si="10"/>
        <v>1.35</v>
      </c>
      <c r="D38" s="95" t="s">
        <v>136</v>
      </c>
      <c r="E38" s="94">
        <f t="shared" si="8"/>
        <v>2.9699999999999998</v>
      </c>
      <c r="F38" s="95" t="s">
        <v>133</v>
      </c>
      <c r="G38" s="94">
        <f t="shared" si="9"/>
        <v>1.35</v>
      </c>
      <c r="H38" s="95" t="s">
        <v>136</v>
      </c>
      <c r="I38" s="94">
        <f t="shared" si="3"/>
        <v>2.9699999999999998</v>
      </c>
      <c r="J38" s="95" t="s">
        <v>133</v>
      </c>
      <c r="K38" s="94">
        <f t="shared" si="11"/>
        <v>1.35</v>
      </c>
      <c r="L38" s="95" t="s">
        <v>138</v>
      </c>
      <c r="M38" s="94">
        <f t="shared" si="4"/>
        <v>3.15</v>
      </c>
      <c r="N38" s="95" t="s">
        <v>133</v>
      </c>
      <c r="O38" s="94">
        <f t="shared" si="12"/>
        <v>1.35</v>
      </c>
      <c r="P38" s="95" t="s">
        <v>138</v>
      </c>
      <c r="Q38" s="94">
        <f t="shared" si="5"/>
        <v>3.15</v>
      </c>
      <c r="R38" s="95" t="s">
        <v>133</v>
      </c>
      <c r="S38" s="94">
        <f t="shared" si="13"/>
        <v>1.35</v>
      </c>
      <c r="T38" s="95" t="s">
        <v>138</v>
      </c>
      <c r="U38" s="94">
        <f t="shared" si="6"/>
        <v>3.4199999999999995</v>
      </c>
      <c r="V38" s="95" t="s">
        <v>133</v>
      </c>
      <c r="W38" s="94">
        <f t="shared" si="14"/>
        <v>1.35</v>
      </c>
      <c r="X38" s="95" t="s">
        <v>138</v>
      </c>
      <c r="Y38" s="94">
        <f t="shared" si="7"/>
        <v>3.4199999999999995</v>
      </c>
      <c r="Z38" s="94">
        <f t="shared" si="15"/>
        <v>8.1</v>
      </c>
    </row>
    <row r="39" spans="1:26" ht="23.25" x14ac:dyDescent="0.35">
      <c r="A39" s="92" t="s">
        <v>99</v>
      </c>
      <c r="B39" s="93" t="s">
        <v>133</v>
      </c>
      <c r="C39" s="94">
        <f t="shared" si="10"/>
        <v>1.62</v>
      </c>
      <c r="D39" s="95" t="s">
        <v>138</v>
      </c>
      <c r="E39" s="94">
        <f t="shared" si="8"/>
        <v>3.6</v>
      </c>
      <c r="F39" s="95" t="s">
        <v>133</v>
      </c>
      <c r="G39" s="94">
        <f t="shared" si="9"/>
        <v>1.62</v>
      </c>
      <c r="H39" s="95" t="s">
        <v>138</v>
      </c>
      <c r="I39" s="94">
        <f t="shared" si="3"/>
        <v>3.6</v>
      </c>
      <c r="J39" s="95" t="s">
        <v>133</v>
      </c>
      <c r="K39" s="94">
        <f t="shared" si="11"/>
        <v>1.62</v>
      </c>
      <c r="L39" s="95" t="s">
        <v>138</v>
      </c>
      <c r="M39" s="94">
        <f t="shared" si="4"/>
        <v>4.05</v>
      </c>
      <c r="N39" s="95" t="s">
        <v>133</v>
      </c>
      <c r="O39" s="94">
        <f t="shared" si="12"/>
        <v>1.62</v>
      </c>
      <c r="P39" s="95" t="s">
        <v>138</v>
      </c>
      <c r="Q39" s="94">
        <f t="shared" si="5"/>
        <v>4.05</v>
      </c>
      <c r="R39" s="95" t="s">
        <v>133</v>
      </c>
      <c r="S39" s="94">
        <f t="shared" si="13"/>
        <v>1.62</v>
      </c>
      <c r="T39" s="95" t="s">
        <v>138</v>
      </c>
      <c r="U39" s="94">
        <f t="shared" si="6"/>
        <v>4.5</v>
      </c>
      <c r="V39" s="95" t="s">
        <v>133</v>
      </c>
      <c r="W39" s="94">
        <f t="shared" si="14"/>
        <v>1.62</v>
      </c>
      <c r="X39" s="95" t="s">
        <v>138</v>
      </c>
      <c r="Y39" s="94">
        <f t="shared" si="7"/>
        <v>4.5</v>
      </c>
      <c r="Z39" s="94">
        <f t="shared" si="15"/>
        <v>9.7200000000000006</v>
      </c>
    </row>
    <row r="40" spans="1:26" ht="23.25" x14ac:dyDescent="0.35">
      <c r="A40" s="92" t="s">
        <v>143</v>
      </c>
      <c r="B40" s="93" t="s">
        <v>133</v>
      </c>
      <c r="C40" s="94">
        <f t="shared" si="10"/>
        <v>1.62</v>
      </c>
      <c r="D40" s="95" t="s">
        <v>138</v>
      </c>
      <c r="E40" s="94">
        <f t="shared" si="8"/>
        <v>4.5</v>
      </c>
      <c r="F40" s="95" t="s">
        <v>133</v>
      </c>
      <c r="G40" s="94">
        <f t="shared" si="9"/>
        <v>1.62</v>
      </c>
      <c r="H40" s="95" t="s">
        <v>138</v>
      </c>
      <c r="I40" s="94">
        <f t="shared" si="3"/>
        <v>4.5</v>
      </c>
      <c r="J40" s="95" t="s">
        <v>133</v>
      </c>
      <c r="K40" s="94">
        <f t="shared" si="11"/>
        <v>1.62</v>
      </c>
      <c r="L40" s="95" t="s">
        <v>139</v>
      </c>
      <c r="M40" s="94">
        <f t="shared" si="4"/>
        <v>4.95</v>
      </c>
      <c r="N40" s="95" t="s">
        <v>133</v>
      </c>
      <c r="O40" s="94">
        <f t="shared" si="12"/>
        <v>1.62</v>
      </c>
      <c r="P40" s="95" t="s">
        <v>139</v>
      </c>
      <c r="Q40" s="94">
        <f t="shared" si="5"/>
        <v>4.95</v>
      </c>
      <c r="R40" s="95" t="s">
        <v>133</v>
      </c>
      <c r="S40" s="94">
        <f t="shared" si="13"/>
        <v>1.62</v>
      </c>
      <c r="T40" s="95" t="s">
        <v>139</v>
      </c>
      <c r="U40" s="94">
        <f t="shared" si="6"/>
        <v>4.95</v>
      </c>
      <c r="V40" s="95" t="s">
        <v>133</v>
      </c>
      <c r="W40" s="94">
        <f t="shared" si="14"/>
        <v>1.62</v>
      </c>
      <c r="X40" s="95" t="s">
        <v>139</v>
      </c>
      <c r="Y40" s="94">
        <f t="shared" si="7"/>
        <v>4.95</v>
      </c>
      <c r="Z40" s="94">
        <f t="shared" si="15"/>
        <v>7.02</v>
      </c>
    </row>
    <row r="41" spans="1:26" ht="23.25" x14ac:dyDescent="0.35">
      <c r="A41" s="92" t="s">
        <v>144</v>
      </c>
      <c r="B41" s="93" t="s">
        <v>133</v>
      </c>
      <c r="C41" s="94">
        <f t="shared" si="10"/>
        <v>1.62</v>
      </c>
      <c r="D41" s="95" t="s">
        <v>139</v>
      </c>
      <c r="E41" s="94">
        <f t="shared" si="8"/>
        <v>4.95</v>
      </c>
      <c r="F41" s="95" t="s">
        <v>133</v>
      </c>
      <c r="G41" s="94">
        <f t="shared" si="9"/>
        <v>1.62</v>
      </c>
      <c r="H41" s="95" t="s">
        <v>139</v>
      </c>
      <c r="I41" s="94">
        <f t="shared" si="3"/>
        <v>4.95</v>
      </c>
      <c r="J41" s="95" t="s">
        <v>133</v>
      </c>
      <c r="K41" s="94">
        <f t="shared" si="11"/>
        <v>1.62</v>
      </c>
      <c r="L41" s="95" t="s">
        <v>139</v>
      </c>
      <c r="M41" s="94">
        <f t="shared" si="4"/>
        <v>5.4</v>
      </c>
      <c r="N41" s="95" t="s">
        <v>133</v>
      </c>
      <c r="O41" s="94">
        <f t="shared" si="12"/>
        <v>1.62</v>
      </c>
      <c r="P41" s="95" t="s">
        <v>139</v>
      </c>
      <c r="Q41" s="94">
        <f t="shared" si="5"/>
        <v>5.4</v>
      </c>
      <c r="R41" s="95" t="s">
        <v>133</v>
      </c>
      <c r="S41" s="94">
        <f t="shared" si="13"/>
        <v>1.62</v>
      </c>
      <c r="T41" s="95" t="s">
        <v>139</v>
      </c>
      <c r="U41" s="94">
        <f t="shared" si="6"/>
        <v>5.4</v>
      </c>
      <c r="V41" s="95" t="s">
        <v>133</v>
      </c>
      <c r="W41" s="94">
        <f t="shared" si="14"/>
        <v>1.62</v>
      </c>
      <c r="X41" s="95" t="s">
        <v>139</v>
      </c>
      <c r="Y41" s="94">
        <f t="shared" si="7"/>
        <v>5.4</v>
      </c>
      <c r="Z41" s="94">
        <f t="shared" si="15"/>
        <v>7.02</v>
      </c>
    </row>
    <row r="42" spans="1:26" ht="23.25" x14ac:dyDescent="0.35">
      <c r="A42" s="92" t="s">
        <v>145</v>
      </c>
      <c r="B42" s="93" t="s">
        <v>133</v>
      </c>
      <c r="C42" s="94">
        <f t="shared" si="10"/>
        <v>1.62</v>
      </c>
      <c r="D42" s="95" t="s">
        <v>140</v>
      </c>
      <c r="E42" s="94">
        <f t="shared" si="8"/>
        <v>5.4</v>
      </c>
      <c r="F42" s="95" t="s">
        <v>133</v>
      </c>
      <c r="G42" s="94">
        <f t="shared" si="9"/>
        <v>1.62</v>
      </c>
      <c r="H42" s="95" t="s">
        <v>140</v>
      </c>
      <c r="I42" s="94">
        <f t="shared" si="3"/>
        <v>5.4</v>
      </c>
      <c r="J42" s="95" t="s">
        <v>133</v>
      </c>
      <c r="K42" s="94">
        <f t="shared" si="11"/>
        <v>1.62</v>
      </c>
      <c r="L42" s="95" t="s">
        <v>140</v>
      </c>
      <c r="M42" s="94">
        <f t="shared" si="4"/>
        <v>5.4</v>
      </c>
      <c r="N42" s="95" t="s">
        <v>133</v>
      </c>
      <c r="O42" s="94">
        <f t="shared" si="12"/>
        <v>1.62</v>
      </c>
      <c r="P42" s="95" t="s">
        <v>140</v>
      </c>
      <c r="Q42" s="94">
        <f t="shared" si="5"/>
        <v>5.4</v>
      </c>
      <c r="R42" s="95" t="s">
        <v>133</v>
      </c>
      <c r="S42" s="94">
        <f t="shared" si="13"/>
        <v>1.62</v>
      </c>
      <c r="T42" s="95" t="s">
        <v>140</v>
      </c>
      <c r="U42" s="94">
        <f t="shared" si="6"/>
        <v>5.4</v>
      </c>
      <c r="V42" s="95" t="s">
        <v>133</v>
      </c>
      <c r="W42" s="94">
        <f t="shared" si="14"/>
        <v>1.62</v>
      </c>
      <c r="X42" s="95" t="s">
        <v>140</v>
      </c>
      <c r="Y42" s="94">
        <f t="shared" si="7"/>
        <v>5.4</v>
      </c>
      <c r="Z42" s="94">
        <f t="shared" si="15"/>
        <v>5.4</v>
      </c>
    </row>
    <row r="43" spans="1:26" ht="23.25" x14ac:dyDescent="0.35">
      <c r="A43" s="92" t="s">
        <v>146</v>
      </c>
      <c r="B43" s="93" t="s">
        <v>133</v>
      </c>
      <c r="C43" s="94">
        <f t="shared" si="10"/>
        <v>1.62</v>
      </c>
      <c r="D43" s="95" t="s">
        <v>142</v>
      </c>
      <c r="E43" s="94">
        <f t="shared" si="8"/>
        <v>5.85</v>
      </c>
      <c r="F43" s="95" t="s">
        <v>133</v>
      </c>
      <c r="G43" s="94">
        <f t="shared" si="9"/>
        <v>1.62</v>
      </c>
      <c r="H43" s="95" t="s">
        <v>142</v>
      </c>
      <c r="I43" s="94">
        <f t="shared" si="3"/>
        <v>5.85</v>
      </c>
      <c r="J43" s="95" t="s">
        <v>133</v>
      </c>
      <c r="K43" s="94">
        <f t="shared" si="11"/>
        <v>1.62</v>
      </c>
      <c r="L43" s="95" t="s">
        <v>142</v>
      </c>
      <c r="M43" s="94">
        <f t="shared" si="4"/>
        <v>5.85</v>
      </c>
      <c r="N43" s="95" t="s">
        <v>133</v>
      </c>
      <c r="O43" s="94">
        <f t="shared" si="12"/>
        <v>1.62</v>
      </c>
      <c r="P43" s="95" t="s">
        <v>142</v>
      </c>
      <c r="Q43" s="94">
        <f t="shared" si="5"/>
        <v>5.85</v>
      </c>
      <c r="R43" s="95" t="s">
        <v>133</v>
      </c>
      <c r="S43" s="94">
        <f t="shared" si="13"/>
        <v>1.62</v>
      </c>
      <c r="T43" s="95" t="s">
        <v>142</v>
      </c>
      <c r="U43" s="94">
        <f t="shared" si="6"/>
        <v>5.85</v>
      </c>
      <c r="V43" s="95" t="s">
        <v>133</v>
      </c>
      <c r="W43" s="94">
        <f t="shared" si="14"/>
        <v>1.62</v>
      </c>
      <c r="X43" s="95" t="s">
        <v>142</v>
      </c>
      <c r="Y43" s="94">
        <f t="shared" si="7"/>
        <v>5.85</v>
      </c>
      <c r="Z43" s="94">
        <f t="shared" si="15"/>
        <v>5.4</v>
      </c>
    </row>
    <row r="44" spans="1:26" ht="23.25" x14ac:dyDescent="0.35">
      <c r="A44" s="92" t="s">
        <v>147</v>
      </c>
      <c r="B44" s="93" t="s">
        <v>148</v>
      </c>
      <c r="C44" s="94">
        <f t="shared" si="10"/>
        <v>6.7499999999999991</v>
      </c>
      <c r="D44" s="95" t="s">
        <v>142</v>
      </c>
      <c r="E44" s="94">
        <f t="shared" si="8"/>
        <v>5.85</v>
      </c>
      <c r="F44" s="95" t="s">
        <v>148</v>
      </c>
      <c r="G44" s="94">
        <f t="shared" si="9"/>
        <v>6.7499999999999991</v>
      </c>
      <c r="H44" s="95" t="s">
        <v>142</v>
      </c>
      <c r="I44" s="94">
        <f t="shared" si="3"/>
        <v>5.85</v>
      </c>
      <c r="J44" s="95" t="s">
        <v>148</v>
      </c>
      <c r="K44" s="94">
        <f t="shared" si="11"/>
        <v>6.7499999999999991</v>
      </c>
      <c r="L44" s="95" t="s">
        <v>142</v>
      </c>
      <c r="M44" s="94">
        <f t="shared" si="4"/>
        <v>5.85</v>
      </c>
      <c r="N44" s="95" t="s">
        <v>148</v>
      </c>
      <c r="O44" s="94">
        <f t="shared" si="12"/>
        <v>8.1</v>
      </c>
      <c r="P44" s="95" t="s">
        <v>142</v>
      </c>
      <c r="Q44" s="94">
        <f t="shared" si="5"/>
        <v>5.85</v>
      </c>
      <c r="R44" s="95" t="s">
        <v>148</v>
      </c>
      <c r="S44" s="94">
        <f t="shared" si="13"/>
        <v>8.1</v>
      </c>
      <c r="T44" s="95" t="s">
        <v>142</v>
      </c>
      <c r="U44" s="94">
        <f t="shared" si="6"/>
        <v>5.85</v>
      </c>
      <c r="V44" s="95" t="s">
        <v>148</v>
      </c>
      <c r="W44" s="94">
        <f t="shared" si="14"/>
        <v>9</v>
      </c>
      <c r="X44" s="95" t="s">
        <v>149</v>
      </c>
      <c r="Y44" s="94">
        <f t="shared" si="7"/>
        <v>5.85</v>
      </c>
      <c r="Z44" s="94">
        <f t="shared" si="15"/>
        <v>45.45</v>
      </c>
    </row>
    <row r="45" spans="1:26" ht="23.25" x14ac:dyDescent="0.35">
      <c r="A45" s="92" t="s">
        <v>150</v>
      </c>
      <c r="B45" s="93" t="s">
        <v>148</v>
      </c>
      <c r="C45" s="94">
        <f t="shared" si="10"/>
        <v>13.499999999999998</v>
      </c>
      <c r="D45" s="95" t="s">
        <v>142</v>
      </c>
      <c r="E45" s="94">
        <f t="shared" si="8"/>
        <v>6.3</v>
      </c>
      <c r="F45" s="95" t="s">
        <v>148</v>
      </c>
      <c r="G45" s="94">
        <f t="shared" si="9"/>
        <v>13.499999999999998</v>
      </c>
      <c r="H45" s="95" t="s">
        <v>142</v>
      </c>
      <c r="I45" s="94">
        <f t="shared" si="3"/>
        <v>6.3</v>
      </c>
      <c r="J45" s="95" t="s">
        <v>148</v>
      </c>
      <c r="K45" s="94">
        <f t="shared" si="11"/>
        <v>13.499999999999998</v>
      </c>
      <c r="L45" s="95" t="s">
        <v>142</v>
      </c>
      <c r="M45" s="94">
        <f t="shared" si="4"/>
        <v>6.3</v>
      </c>
      <c r="N45" s="95" t="s">
        <v>148</v>
      </c>
      <c r="O45" s="94">
        <f t="shared" si="12"/>
        <v>17.603999999999999</v>
      </c>
      <c r="P45" s="95" t="s">
        <v>142</v>
      </c>
      <c r="Q45" s="94">
        <f t="shared" si="5"/>
        <v>6.3</v>
      </c>
      <c r="R45" s="95" t="s">
        <v>148</v>
      </c>
      <c r="S45" s="94">
        <f t="shared" si="13"/>
        <v>17.603999999999999</v>
      </c>
      <c r="T45" s="95" t="s">
        <v>142</v>
      </c>
      <c r="U45" s="94">
        <f t="shared" si="6"/>
        <v>6.3</v>
      </c>
      <c r="V45" s="95" t="s">
        <v>148</v>
      </c>
      <c r="W45" s="94">
        <f t="shared" si="14"/>
        <v>18.900000000000002</v>
      </c>
      <c r="X45" s="95" t="s">
        <v>151</v>
      </c>
      <c r="Y45" s="94">
        <f t="shared" si="7"/>
        <v>6.3</v>
      </c>
      <c r="Z45" s="94">
        <f t="shared" si="15"/>
        <v>78.839999999999989</v>
      </c>
    </row>
    <row r="46" spans="1:26" ht="23.25" x14ac:dyDescent="0.35">
      <c r="A46" s="92" t="s">
        <v>152</v>
      </c>
      <c r="B46" s="93" t="s">
        <v>148</v>
      </c>
      <c r="C46" s="94">
        <f t="shared" si="10"/>
        <v>21.6</v>
      </c>
      <c r="D46" s="95" t="s">
        <v>142</v>
      </c>
      <c r="E46" s="94">
        <f t="shared" si="8"/>
        <v>6.7499999999999991</v>
      </c>
      <c r="F46" s="95" t="s">
        <v>148</v>
      </c>
      <c r="G46" s="94">
        <f t="shared" si="9"/>
        <v>21.6</v>
      </c>
      <c r="H46" s="95" t="s">
        <v>142</v>
      </c>
      <c r="I46" s="94">
        <f t="shared" si="3"/>
        <v>6.7499999999999991</v>
      </c>
      <c r="J46" s="95" t="s">
        <v>148</v>
      </c>
      <c r="K46" s="94">
        <f t="shared" si="11"/>
        <v>21.6</v>
      </c>
      <c r="L46" s="95" t="s">
        <v>142</v>
      </c>
      <c r="M46" s="94">
        <f t="shared" si="4"/>
        <v>6.7499999999999991</v>
      </c>
      <c r="N46" s="95" t="s">
        <v>148</v>
      </c>
      <c r="O46" s="94">
        <f t="shared" si="12"/>
        <v>26.999999999999996</v>
      </c>
      <c r="P46" s="95" t="s">
        <v>142</v>
      </c>
      <c r="Q46" s="94">
        <f t="shared" si="5"/>
        <v>6.7499999999999991</v>
      </c>
      <c r="R46" s="95" t="s">
        <v>148</v>
      </c>
      <c r="S46" s="94">
        <f t="shared" si="13"/>
        <v>26.999999999999996</v>
      </c>
      <c r="T46" s="95" t="s">
        <v>142</v>
      </c>
      <c r="U46" s="94">
        <f t="shared" si="6"/>
        <v>6.7499999999999991</v>
      </c>
      <c r="V46" s="95" t="s">
        <v>148</v>
      </c>
      <c r="W46" s="94">
        <f t="shared" si="14"/>
        <v>29.7</v>
      </c>
      <c r="X46" s="95" t="s">
        <v>153</v>
      </c>
      <c r="Y46" s="94">
        <f t="shared" si="7"/>
        <v>6.7499999999999991</v>
      </c>
      <c r="Z46" s="94">
        <f t="shared" si="15"/>
        <v>123.74999999999999</v>
      </c>
    </row>
    <row r="47" spans="1:26" ht="23.25" x14ac:dyDescent="0.35">
      <c r="A47" s="92" t="s">
        <v>154</v>
      </c>
      <c r="B47" s="93" t="s">
        <v>148</v>
      </c>
      <c r="C47" s="94">
        <f t="shared" si="10"/>
        <v>33.804000000000002</v>
      </c>
      <c r="D47" s="95" t="s">
        <v>142</v>
      </c>
      <c r="E47" s="94">
        <f t="shared" si="8"/>
        <v>7.9200000000000008</v>
      </c>
      <c r="F47" s="95" t="s">
        <v>148</v>
      </c>
      <c r="G47" s="94">
        <f t="shared" si="9"/>
        <v>33.804000000000002</v>
      </c>
      <c r="H47" s="95" t="s">
        <v>142</v>
      </c>
      <c r="I47" s="94">
        <f t="shared" si="3"/>
        <v>7.9200000000000008</v>
      </c>
      <c r="J47" s="95" t="s">
        <v>148</v>
      </c>
      <c r="K47" s="94">
        <f t="shared" si="11"/>
        <v>33.804000000000002</v>
      </c>
      <c r="L47" s="95" t="s">
        <v>142</v>
      </c>
      <c r="M47" s="94">
        <f t="shared" si="4"/>
        <v>7.9200000000000008</v>
      </c>
      <c r="N47" s="95" t="s">
        <v>148</v>
      </c>
      <c r="O47" s="94">
        <f t="shared" si="12"/>
        <v>39.203999999999994</v>
      </c>
      <c r="P47" s="95" t="s">
        <v>142</v>
      </c>
      <c r="Q47" s="94">
        <f t="shared" si="5"/>
        <v>7.9200000000000008</v>
      </c>
      <c r="R47" s="95" t="s">
        <v>148</v>
      </c>
      <c r="S47" s="94">
        <f t="shared" si="13"/>
        <v>39.203999999999994</v>
      </c>
      <c r="T47" s="95" t="s">
        <v>142</v>
      </c>
      <c r="U47" s="94">
        <f t="shared" si="6"/>
        <v>7.9200000000000008</v>
      </c>
      <c r="V47" s="95" t="s">
        <v>148</v>
      </c>
      <c r="W47" s="94">
        <f t="shared" si="14"/>
        <v>40.5</v>
      </c>
      <c r="X47" s="95" t="s">
        <v>155</v>
      </c>
      <c r="Y47" s="94">
        <f t="shared" si="7"/>
        <v>7.9200000000000008</v>
      </c>
      <c r="Z47" s="94">
        <f t="shared" si="15"/>
        <v>183.60000000000002</v>
      </c>
    </row>
    <row r="48" spans="1:26" ht="23.25" x14ac:dyDescent="0.35">
      <c r="A48" s="92" t="s">
        <v>156</v>
      </c>
      <c r="B48" s="93" t="s">
        <v>148</v>
      </c>
      <c r="C48" s="94">
        <f t="shared" si="10"/>
        <v>40.5</v>
      </c>
      <c r="D48" s="95" t="s">
        <v>142</v>
      </c>
      <c r="E48" s="94">
        <f t="shared" si="8"/>
        <v>9</v>
      </c>
      <c r="F48" s="95" t="s">
        <v>148</v>
      </c>
      <c r="G48" s="94">
        <f t="shared" si="9"/>
        <v>40.5</v>
      </c>
      <c r="H48" s="95" t="s">
        <v>142</v>
      </c>
      <c r="I48" s="94">
        <f t="shared" si="3"/>
        <v>9</v>
      </c>
      <c r="J48" s="95" t="s">
        <v>148</v>
      </c>
      <c r="K48" s="94">
        <f t="shared" si="11"/>
        <v>40.5</v>
      </c>
      <c r="L48" s="95" t="s">
        <v>142</v>
      </c>
      <c r="M48" s="94">
        <f t="shared" si="4"/>
        <v>9</v>
      </c>
      <c r="N48" s="95" t="s">
        <v>148</v>
      </c>
      <c r="O48" s="94">
        <f t="shared" si="12"/>
        <v>44.603999999999992</v>
      </c>
      <c r="P48" s="95" t="s">
        <v>142</v>
      </c>
      <c r="Q48" s="94">
        <f t="shared" si="5"/>
        <v>9</v>
      </c>
      <c r="R48" s="95" t="s">
        <v>148</v>
      </c>
      <c r="S48" s="94">
        <f t="shared" si="13"/>
        <v>44.603999999999992</v>
      </c>
      <c r="T48" s="95" t="s">
        <v>142</v>
      </c>
      <c r="U48" s="94">
        <f t="shared" si="6"/>
        <v>9</v>
      </c>
      <c r="V48" s="95" t="s">
        <v>148</v>
      </c>
      <c r="W48" s="94">
        <f t="shared" si="14"/>
        <v>45.900000000000006</v>
      </c>
      <c r="X48" s="95" t="s">
        <v>157</v>
      </c>
      <c r="Y48" s="94">
        <f t="shared" si="7"/>
        <v>9</v>
      </c>
      <c r="Z48" s="94">
        <f t="shared" si="15"/>
        <v>213.84</v>
      </c>
    </row>
    <row r="49" spans="1:26" ht="23.25" x14ac:dyDescent="0.35">
      <c r="A49" s="92" t="s">
        <v>158</v>
      </c>
      <c r="B49" s="93" t="s">
        <v>148</v>
      </c>
      <c r="C49" s="94">
        <f t="shared" si="10"/>
        <v>45.900000000000006</v>
      </c>
      <c r="D49" s="95" t="s">
        <v>142</v>
      </c>
      <c r="E49" s="94">
        <f t="shared" si="8"/>
        <v>11.25</v>
      </c>
      <c r="F49" s="95" t="s">
        <v>148</v>
      </c>
      <c r="G49" s="94">
        <f t="shared" si="9"/>
        <v>45.900000000000006</v>
      </c>
      <c r="H49" s="95" t="s">
        <v>142</v>
      </c>
      <c r="I49" s="94">
        <f t="shared" si="3"/>
        <v>11.25</v>
      </c>
      <c r="J49" s="95" t="s">
        <v>148</v>
      </c>
      <c r="K49" s="94">
        <f t="shared" si="11"/>
        <v>45.900000000000006</v>
      </c>
      <c r="L49" s="95" t="s">
        <v>142</v>
      </c>
      <c r="M49" s="94">
        <f t="shared" si="4"/>
        <v>11.25</v>
      </c>
      <c r="N49" s="95" t="s">
        <v>148</v>
      </c>
      <c r="O49" s="94">
        <f t="shared" si="12"/>
        <v>51.3</v>
      </c>
      <c r="P49" s="95" t="s">
        <v>142</v>
      </c>
      <c r="Q49" s="94">
        <f t="shared" si="5"/>
        <v>11.25</v>
      </c>
      <c r="R49" s="95" t="s">
        <v>148</v>
      </c>
      <c r="S49" s="94">
        <f t="shared" si="13"/>
        <v>51.3</v>
      </c>
      <c r="T49" s="95" t="s">
        <v>142</v>
      </c>
      <c r="U49" s="94">
        <f t="shared" si="6"/>
        <v>11.25</v>
      </c>
      <c r="V49" s="95" t="s">
        <v>148</v>
      </c>
      <c r="W49" s="94">
        <f t="shared" si="14"/>
        <v>53.999999999999993</v>
      </c>
      <c r="X49" s="95" t="s">
        <v>159</v>
      </c>
      <c r="Y49" s="94">
        <f t="shared" si="7"/>
        <v>11.25</v>
      </c>
      <c r="Z49" s="94">
        <f t="shared" si="15"/>
        <v>245.25</v>
      </c>
    </row>
  </sheetData>
  <mergeCells count="50">
    <mergeCell ref="N30:O30"/>
    <mergeCell ref="P30:Q30"/>
    <mergeCell ref="R30:S30"/>
    <mergeCell ref="T30:U30"/>
    <mergeCell ref="V30:W30"/>
    <mergeCell ref="X30:Y30"/>
    <mergeCell ref="B30:C30"/>
    <mergeCell ref="D30:E30"/>
    <mergeCell ref="F30:G30"/>
    <mergeCell ref="H30:I30"/>
    <mergeCell ref="J30:K30"/>
    <mergeCell ref="L30:M30"/>
    <mergeCell ref="N29:O29"/>
    <mergeCell ref="P29:Q29"/>
    <mergeCell ref="R29:S29"/>
    <mergeCell ref="T29:U29"/>
    <mergeCell ref="V29:W29"/>
    <mergeCell ref="X29:Y29"/>
    <mergeCell ref="B29:C29"/>
    <mergeCell ref="D29:E29"/>
    <mergeCell ref="F29:G29"/>
    <mergeCell ref="H29:I29"/>
    <mergeCell ref="J29:K29"/>
    <mergeCell ref="L29:M29"/>
    <mergeCell ref="P4:Q4"/>
    <mergeCell ref="R4:S4"/>
    <mergeCell ref="T4:U4"/>
    <mergeCell ref="V4:W4"/>
    <mergeCell ref="X4:Y4"/>
    <mergeCell ref="A27:Z27"/>
    <mergeCell ref="T3:U3"/>
    <mergeCell ref="V3:W3"/>
    <mergeCell ref="X3:Y3"/>
    <mergeCell ref="B4:C4"/>
    <mergeCell ref="D4:E4"/>
    <mergeCell ref="F4:G4"/>
    <mergeCell ref="H4:I4"/>
    <mergeCell ref="J4:K4"/>
    <mergeCell ref="L4:M4"/>
    <mergeCell ref="N4:O4"/>
    <mergeCell ref="A1:Z1"/>
    <mergeCell ref="B3:C3"/>
    <mergeCell ref="D3:E3"/>
    <mergeCell ref="F3:G3"/>
    <mergeCell ref="H3:I3"/>
    <mergeCell ref="J3:K3"/>
    <mergeCell ref="L3:M3"/>
    <mergeCell ref="N3:O3"/>
    <mergeCell ref="P3:Q3"/>
    <mergeCell ref="R3:S3"/>
  </mergeCells>
  <pageMargins left="0.22" right="0.17" top="0.74803149606299213" bottom="0.74803149606299213" header="0.31496062992125984" footer="0.31496062992125984"/>
  <pageSetup paperSize="9" scale="39" orientation="landscape" horizontalDpi="12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Water Exchange</vt:lpstr>
      <vt:lpstr>Sheet4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2026-06-09T12:12:50Z</dcterms:modified>
</cp:coreProperties>
</file>