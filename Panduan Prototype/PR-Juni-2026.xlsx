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okosegoro/Documents/Document01/bahan hatchery database/"/>
    </mc:Choice>
  </mc:AlternateContent>
  <xr:revisionPtr revIDLastSave="0" documentId="8_{5CBF490E-C348-F746-9A2D-2434C66F5FB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2026-05-31" sheetId="1" r:id="rId1"/>
    <sheet name="2026-06-01" sheetId="2" r:id="rId2"/>
    <sheet name="2026-06-02" sheetId="3" r:id="rId3"/>
    <sheet name="2026-06-03" sheetId="4" r:id="rId4"/>
    <sheet name="2026-06-04" sheetId="5" r:id="rId5"/>
    <sheet name="2026-06-05" sheetId="6" r:id="rId6"/>
    <sheet name="2026-06-06" sheetId="7" r:id="rId7"/>
    <sheet name="2026-06-07" sheetId="8" r:id="rId8"/>
    <sheet name="2026-06-08" sheetId="9" r:id="rId9"/>
    <sheet name="2026-06-09" sheetId="10" r:id="rId10"/>
    <sheet name="2026-06-10" sheetId="11" r:id="rId11"/>
    <sheet name="2026-06-11" sheetId="12" r:id="rId12"/>
    <sheet name="2026-06-12" sheetId="13" r:id="rId13"/>
    <sheet name="2026-06-13" sheetId="14" r:id="rId14"/>
    <sheet name="2026-06-14" sheetId="15" r:id="rId15"/>
    <sheet name="2026-06-15" sheetId="16" r:id="rId16"/>
    <sheet name="2026-06-16" sheetId="17" r:id="rId17"/>
    <sheet name="2026-06-17" sheetId="18" r:id="rId18"/>
    <sheet name="2026-06-18" sheetId="19" r:id="rId19"/>
    <sheet name="2026-06-19" sheetId="20" r:id="rId20"/>
    <sheet name="2026-06-20" sheetId="21" r:id="rId21"/>
    <sheet name="2026-06-21" sheetId="22" r:id="rId22"/>
    <sheet name="2026-06-22" sheetId="23" r:id="rId23"/>
    <sheet name="2026-06-23" sheetId="24" r:id="rId24"/>
    <sheet name="2026-06-24" sheetId="25" r:id="rId25"/>
    <sheet name="2026-06-25" sheetId="26" r:id="rId26"/>
    <sheet name="2026-06-26" sheetId="27" r:id="rId27"/>
    <sheet name="2026-06-27" sheetId="28" r:id="rId28"/>
    <sheet name="2026-06-28" sheetId="29" r:id="rId29"/>
    <sheet name="2026-06-29" sheetId="30" r:id="rId30"/>
    <sheet name="2026-06-30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5" roundtripDataChecksum="meGYiepvpQBqArsKFrfs0dljh220WPlyKPUCE79r+DQ="/>
    </ext>
  </extLst>
</workbook>
</file>

<file path=xl/calcChain.xml><?xml version="1.0" encoding="utf-8"?>
<calcChain xmlns="http://schemas.openxmlformats.org/spreadsheetml/2006/main">
  <c r="Q29" i="31" l="1"/>
  <c r="Q27" i="31"/>
  <c r="P16" i="31"/>
  <c r="P15" i="31"/>
  <c r="P14" i="31"/>
  <c r="P13" i="31"/>
  <c r="P12" i="31"/>
  <c r="P11" i="31"/>
  <c r="P10" i="31"/>
  <c r="P9" i="31"/>
  <c r="P8" i="31"/>
  <c r="P7" i="31"/>
  <c r="P6" i="31"/>
  <c r="Q29" i="30"/>
  <c r="Q27" i="30"/>
  <c r="P16" i="30"/>
  <c r="P15" i="30"/>
  <c r="P14" i="30"/>
  <c r="P13" i="30"/>
  <c r="P12" i="30"/>
  <c r="P11" i="30"/>
  <c r="P10" i="30"/>
  <c r="P9" i="30"/>
  <c r="P8" i="30"/>
  <c r="P7" i="30"/>
  <c r="P6" i="30"/>
  <c r="Q28" i="29"/>
  <c r="Q26" i="29"/>
  <c r="P16" i="29"/>
  <c r="P15" i="29"/>
  <c r="P14" i="29"/>
  <c r="P13" i="29"/>
  <c r="P12" i="29"/>
  <c r="P11" i="29"/>
  <c r="P10" i="29"/>
  <c r="P9" i="29"/>
  <c r="P8" i="29"/>
  <c r="P7" i="29"/>
  <c r="P6" i="29"/>
  <c r="Q29" i="28"/>
  <c r="P16" i="28"/>
  <c r="P15" i="28"/>
  <c r="P14" i="28"/>
  <c r="P13" i="28"/>
  <c r="P12" i="28"/>
  <c r="P11" i="28"/>
  <c r="P10" i="28"/>
  <c r="P9" i="28"/>
  <c r="P8" i="28"/>
  <c r="P7" i="28"/>
  <c r="P6" i="28"/>
  <c r="Q29" i="27"/>
  <c r="Q28" i="27"/>
  <c r="P16" i="27"/>
  <c r="P15" i="27"/>
  <c r="P14" i="27"/>
  <c r="P13" i="27"/>
  <c r="P12" i="27"/>
  <c r="P11" i="27"/>
  <c r="P10" i="27"/>
  <c r="P9" i="27"/>
  <c r="P8" i="27"/>
  <c r="P7" i="27"/>
  <c r="P6" i="27"/>
  <c r="Q30" i="26"/>
  <c r="Q29" i="26"/>
  <c r="Q28" i="26"/>
  <c r="P16" i="26"/>
  <c r="P15" i="26"/>
  <c r="P14" i="26"/>
  <c r="P13" i="26"/>
  <c r="P12" i="26"/>
  <c r="P11" i="26"/>
  <c r="P10" i="26"/>
  <c r="P9" i="26"/>
  <c r="P8" i="26"/>
  <c r="P7" i="26"/>
  <c r="P6" i="26"/>
  <c r="Q28" i="25"/>
  <c r="P16" i="25"/>
  <c r="P15" i="25"/>
  <c r="P14" i="25"/>
  <c r="P13" i="25"/>
  <c r="P12" i="25"/>
  <c r="P11" i="25"/>
  <c r="P10" i="25"/>
  <c r="P9" i="25"/>
  <c r="P8" i="25"/>
  <c r="P7" i="25"/>
  <c r="P6" i="25"/>
  <c r="Q30" i="24"/>
  <c r="Q29" i="24"/>
  <c r="P16" i="24"/>
  <c r="P15" i="24"/>
  <c r="P14" i="24"/>
  <c r="P13" i="24"/>
  <c r="P12" i="24"/>
  <c r="P11" i="24"/>
  <c r="P10" i="24"/>
  <c r="P9" i="24"/>
  <c r="P8" i="24"/>
  <c r="P7" i="24"/>
  <c r="P6" i="24"/>
  <c r="Q29" i="23"/>
  <c r="Q28" i="23"/>
  <c r="Q27" i="23"/>
  <c r="P16" i="23"/>
  <c r="P15" i="23"/>
  <c r="P14" i="23"/>
  <c r="P13" i="23"/>
  <c r="P12" i="23"/>
  <c r="P11" i="23"/>
  <c r="P10" i="23"/>
  <c r="P9" i="23"/>
  <c r="P8" i="23"/>
  <c r="P7" i="23"/>
  <c r="P6" i="23"/>
  <c r="Q29" i="22"/>
  <c r="Q28" i="22"/>
  <c r="P16" i="22"/>
  <c r="P15" i="22"/>
  <c r="P14" i="22"/>
  <c r="P13" i="22"/>
  <c r="P12" i="22"/>
  <c r="P11" i="22"/>
  <c r="P10" i="22"/>
  <c r="P9" i="22"/>
  <c r="P8" i="22"/>
  <c r="P7" i="22"/>
  <c r="P6" i="22"/>
  <c r="Q31" i="21"/>
  <c r="Q30" i="21"/>
  <c r="Q29" i="21"/>
  <c r="P16" i="21"/>
  <c r="P15" i="21"/>
  <c r="P14" i="21"/>
  <c r="P13" i="21"/>
  <c r="P12" i="21"/>
  <c r="P11" i="21"/>
  <c r="P10" i="21"/>
  <c r="P9" i="21"/>
  <c r="P8" i="21"/>
  <c r="P7" i="21"/>
  <c r="P6" i="21"/>
  <c r="Q29" i="20"/>
  <c r="Q28" i="20"/>
  <c r="P16" i="20"/>
  <c r="P15" i="20"/>
  <c r="P14" i="20"/>
  <c r="P13" i="20"/>
  <c r="P12" i="20"/>
  <c r="P11" i="20"/>
  <c r="P10" i="20"/>
  <c r="P9" i="20"/>
  <c r="P8" i="20"/>
  <c r="P7" i="20"/>
  <c r="P6" i="20"/>
  <c r="Q28" i="19"/>
  <c r="Q27" i="19"/>
  <c r="P16" i="19"/>
  <c r="P15" i="19"/>
  <c r="P14" i="19"/>
  <c r="P13" i="19"/>
  <c r="P12" i="19"/>
  <c r="P11" i="19"/>
  <c r="P10" i="19"/>
  <c r="P9" i="19"/>
  <c r="P8" i="19"/>
  <c r="P7" i="19"/>
  <c r="P6" i="19"/>
  <c r="Q30" i="18"/>
  <c r="Q28" i="18"/>
  <c r="Q27" i="18"/>
  <c r="Q26" i="18"/>
  <c r="P16" i="18"/>
  <c r="P15" i="18"/>
  <c r="P14" i="18"/>
  <c r="P13" i="18"/>
  <c r="P12" i="18"/>
  <c r="P11" i="18"/>
  <c r="P10" i="18"/>
  <c r="P9" i="18"/>
  <c r="P8" i="18"/>
  <c r="P7" i="18"/>
  <c r="P6" i="18"/>
  <c r="Q30" i="17"/>
  <c r="Q29" i="17"/>
  <c r="Q27" i="17"/>
  <c r="Q26" i="17"/>
  <c r="P16" i="17"/>
  <c r="P15" i="17"/>
  <c r="P14" i="17"/>
  <c r="P13" i="17"/>
  <c r="P12" i="17"/>
  <c r="P11" i="17"/>
  <c r="P10" i="17"/>
  <c r="P9" i="17"/>
  <c r="P8" i="17"/>
  <c r="P7" i="17"/>
  <c r="P6" i="17"/>
  <c r="Q29" i="16"/>
  <c r="Q28" i="16"/>
  <c r="P16" i="16"/>
  <c r="P15" i="16"/>
  <c r="P14" i="16"/>
  <c r="P13" i="16"/>
  <c r="P12" i="16"/>
  <c r="P11" i="16"/>
  <c r="P10" i="16"/>
  <c r="P9" i="16"/>
  <c r="P8" i="16"/>
  <c r="P7" i="16"/>
  <c r="P6" i="16"/>
  <c r="Q29" i="15"/>
  <c r="Q28" i="15"/>
  <c r="P16" i="15"/>
  <c r="P15" i="15"/>
  <c r="P14" i="15"/>
  <c r="P13" i="15"/>
  <c r="P12" i="15"/>
  <c r="P11" i="15"/>
  <c r="P10" i="15"/>
  <c r="P9" i="15"/>
  <c r="P8" i="15"/>
  <c r="P7" i="15"/>
  <c r="P6" i="15"/>
  <c r="Q28" i="14"/>
  <c r="P16" i="14"/>
  <c r="P15" i="14"/>
  <c r="P14" i="14"/>
  <c r="P13" i="14"/>
  <c r="P12" i="14"/>
  <c r="P11" i="14"/>
  <c r="P10" i="14"/>
  <c r="P9" i="14"/>
  <c r="P8" i="14"/>
  <c r="P7" i="14"/>
  <c r="P6" i="14"/>
  <c r="Q28" i="13"/>
  <c r="Q27" i="13"/>
  <c r="P16" i="13"/>
  <c r="P15" i="13"/>
  <c r="P14" i="13"/>
  <c r="P13" i="13"/>
  <c r="P12" i="13"/>
  <c r="P11" i="13"/>
  <c r="P10" i="13"/>
  <c r="P9" i="13"/>
  <c r="P8" i="13"/>
  <c r="P7" i="13"/>
  <c r="P6" i="13"/>
  <c r="Q27" i="12"/>
  <c r="P16" i="12"/>
  <c r="P15" i="12"/>
  <c r="P14" i="12"/>
  <c r="P13" i="12"/>
  <c r="P12" i="12"/>
  <c r="P11" i="12"/>
  <c r="P10" i="12"/>
  <c r="P9" i="12"/>
  <c r="P8" i="12"/>
  <c r="P7" i="12"/>
  <c r="P6" i="12"/>
  <c r="P16" i="11"/>
  <c r="P15" i="11"/>
  <c r="P14" i="11"/>
  <c r="P13" i="11"/>
  <c r="P12" i="11"/>
  <c r="P11" i="11"/>
  <c r="P10" i="11"/>
  <c r="P9" i="11"/>
  <c r="P8" i="11"/>
  <c r="P7" i="11"/>
  <c r="P6" i="11"/>
  <c r="Q25" i="10"/>
  <c r="P16" i="10"/>
  <c r="P15" i="10"/>
  <c r="P14" i="10"/>
  <c r="P13" i="10"/>
  <c r="P12" i="10"/>
  <c r="P11" i="10"/>
  <c r="P10" i="10"/>
  <c r="P9" i="10"/>
  <c r="P8" i="10"/>
  <c r="P7" i="10"/>
  <c r="P6" i="10"/>
  <c r="Q25" i="9"/>
  <c r="Q24" i="9"/>
  <c r="P16" i="9"/>
  <c r="P15" i="9"/>
  <c r="P14" i="9"/>
  <c r="P13" i="9"/>
  <c r="P12" i="9"/>
  <c r="P11" i="9"/>
  <c r="P10" i="9"/>
  <c r="P9" i="9"/>
  <c r="P8" i="9"/>
  <c r="P7" i="9"/>
  <c r="P6" i="9"/>
  <c r="Q25" i="8"/>
  <c r="Q24" i="8"/>
  <c r="Q23" i="8"/>
  <c r="P15" i="8"/>
  <c r="P14" i="8"/>
  <c r="P13" i="8"/>
  <c r="P12" i="8"/>
  <c r="P11" i="8"/>
  <c r="P10" i="8"/>
  <c r="P9" i="8"/>
  <c r="P8" i="8"/>
  <c r="P7" i="8"/>
  <c r="P6" i="8"/>
  <c r="Q26" i="7"/>
  <c r="Q25" i="7"/>
  <c r="Q24" i="7"/>
  <c r="Q23" i="7"/>
  <c r="P14" i="7"/>
  <c r="P13" i="7"/>
  <c r="P12" i="7"/>
  <c r="P11" i="7"/>
  <c r="P10" i="7"/>
  <c r="P9" i="7"/>
  <c r="P8" i="7"/>
  <c r="P7" i="7"/>
  <c r="P6" i="7"/>
  <c r="Q27" i="6"/>
  <c r="Q25" i="6"/>
  <c r="P14" i="6"/>
  <c r="P13" i="6"/>
  <c r="P12" i="6"/>
  <c r="P11" i="6"/>
  <c r="P10" i="6"/>
  <c r="P9" i="6"/>
  <c r="P8" i="6"/>
  <c r="P7" i="6"/>
  <c r="P6" i="6"/>
  <c r="Q26" i="5"/>
  <c r="P14" i="5"/>
  <c r="P13" i="5"/>
  <c r="P12" i="5"/>
  <c r="P11" i="5"/>
  <c r="P10" i="5"/>
  <c r="P9" i="5"/>
  <c r="P8" i="5"/>
  <c r="P7" i="5"/>
  <c r="P6" i="5"/>
  <c r="P14" i="4"/>
  <c r="P13" i="4"/>
  <c r="P12" i="4"/>
  <c r="P11" i="4"/>
  <c r="P10" i="4"/>
  <c r="P9" i="4"/>
  <c r="P8" i="4"/>
  <c r="P7" i="4"/>
  <c r="P6" i="4"/>
  <c r="P14" i="3"/>
  <c r="P13" i="3"/>
  <c r="P12" i="3"/>
  <c r="P11" i="3"/>
  <c r="P10" i="3"/>
  <c r="P9" i="3"/>
  <c r="P8" i="3"/>
  <c r="P7" i="3"/>
  <c r="P6" i="3"/>
  <c r="Q24" i="2"/>
  <c r="P14" i="2"/>
  <c r="P13" i="2"/>
  <c r="P12" i="2"/>
  <c r="P11" i="2"/>
  <c r="P10" i="2"/>
  <c r="P9" i="2"/>
  <c r="P8" i="2"/>
  <c r="P7" i="2"/>
  <c r="P6" i="2"/>
  <c r="Q22" i="1"/>
  <c r="Q21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<sst xmlns="http://schemas.openxmlformats.org/spreadsheetml/2006/main" count="7970" uniqueCount="1336">
  <si>
    <t>MATURATION BALI</t>
  </si>
  <si>
    <t>LARVAE</t>
  </si>
  <si>
    <t>TREATMENT</t>
  </si>
  <si>
    <t>Today # Females Sourced:</t>
  </si>
  <si>
    <t>Day</t>
  </si>
  <si>
    <t>Stocking</t>
  </si>
  <si>
    <t>Real Stage</t>
  </si>
  <si>
    <t>Bacterial Counts</t>
  </si>
  <si>
    <t>Count</t>
  </si>
  <si>
    <t>N. Priority</t>
  </si>
  <si>
    <t>% SR</t>
  </si>
  <si>
    <t>Defmt</t>
  </si>
  <si>
    <t>REMARKS</t>
  </si>
  <si>
    <t>Algae Transfer</t>
  </si>
  <si>
    <t>Algino Bali/Tengor</t>
  </si>
  <si>
    <t>Salinitas</t>
  </si>
  <si>
    <t>Chloramint</t>
  </si>
  <si>
    <t>Formalin</t>
  </si>
  <si>
    <t xml:space="preserve">Tank : </t>
  </si>
  <si>
    <t>B1-B6 B9-B12</t>
  </si>
  <si>
    <t>TK #</t>
  </si>
  <si>
    <t>Date</t>
  </si>
  <si>
    <t>Stage</t>
  </si>
  <si>
    <t>AM</t>
  </si>
  <si>
    <t>PM</t>
  </si>
  <si>
    <t>Before</t>
  </si>
  <si>
    <t>After</t>
  </si>
  <si>
    <t>(ppt)</t>
  </si>
  <si>
    <t>N5-Z1</t>
  </si>
  <si>
    <t>N 100%</t>
  </si>
  <si>
    <t>N 3% Z1 97%</t>
  </si>
  <si>
    <t>MB: 100%</t>
  </si>
  <si>
    <t xml:space="preserve">1 ton chaetos tank </t>
  </si>
  <si>
    <t>3 ppm</t>
  </si>
  <si>
    <t>Yest# Females</t>
  </si>
  <si>
    <t>Eggs/Fem</t>
  </si>
  <si>
    <t>Fertile</t>
  </si>
  <si>
    <t>Z1</t>
  </si>
  <si>
    <t>Z1 100%</t>
  </si>
  <si>
    <t>169y</t>
  </si>
  <si>
    <t>pro&gt;</t>
  </si>
  <si>
    <t>0.5 ton chaetos tank + 1 ton thalla tank</t>
  </si>
  <si>
    <t>Z1-Z2</t>
  </si>
  <si>
    <t>Z2 100%</t>
  </si>
  <si>
    <t>158y</t>
  </si>
  <si>
    <t>pro&gt;; mati 2%</t>
  </si>
  <si>
    <t>2 ton thalla tank</t>
  </si>
  <si>
    <t>M1-M2</t>
  </si>
  <si>
    <t xml:space="preserve">Z3 1% M1 72% M2 27% </t>
  </si>
  <si>
    <t>Z3 1% M1 13% M2 61% M3 25%</t>
  </si>
  <si>
    <t>pro&gt;; nec 1%</t>
  </si>
  <si>
    <t>2.5 ton thalla tank</t>
  </si>
  <si>
    <t>% hatch</t>
  </si>
  <si>
    <t>Naups/Fem</t>
  </si>
  <si>
    <t>M2-M3</t>
  </si>
  <si>
    <t>M1 20% M2 53% M3 27%</t>
  </si>
  <si>
    <t>M1 5% M2 13% M3 79% PL 3%</t>
  </si>
  <si>
    <t>Feeding Table</t>
  </si>
  <si>
    <t>pro&gt;; vort&gt;; jel 1%; PM 2%</t>
  </si>
  <si>
    <t>M3-PL</t>
  </si>
  <si>
    <t>M1 1% M2 3% M3 59% PL 37%</t>
  </si>
  <si>
    <t>M2 4% M3 11% PL 85%</t>
  </si>
  <si>
    <t>pro&gt;; vort&gt;; penvort 4%; mati 3%; nec 2%</t>
  </si>
  <si>
    <t>8ppm</t>
  </si>
  <si>
    <t>PL1</t>
  </si>
  <si>
    <t>M3 13% PL 87%</t>
  </si>
  <si>
    <t>M3 6% PL 94%</t>
  </si>
  <si>
    <t>pro&gt;; vort&gt;; nec 2%; AK</t>
  </si>
  <si>
    <t>Harvest</t>
  </si>
  <si>
    <t>PL2</t>
  </si>
  <si>
    <t>M3 1% PL 99%</t>
  </si>
  <si>
    <t>PL 100%</t>
  </si>
  <si>
    <t>pro&gt;; vort&gt;; kec 3%; nec 2%</t>
  </si>
  <si>
    <t>15ppm</t>
  </si>
  <si>
    <t>Larvae</t>
  </si>
  <si>
    <t>Bali</t>
  </si>
  <si>
    <t xml:space="preserve">  </t>
  </si>
  <si>
    <t>Flushing</t>
  </si>
  <si>
    <t>-</t>
  </si>
  <si>
    <t>POST LARVAE</t>
  </si>
  <si>
    <t>MATURATION A</t>
  </si>
  <si>
    <t>Est. Panen</t>
  </si>
  <si>
    <t>Def</t>
  </si>
  <si>
    <t>Size Manual (mm)</t>
  </si>
  <si>
    <t>CV Manual</t>
  </si>
  <si>
    <t>Total Panen</t>
  </si>
  <si>
    <t>SR Panen</t>
  </si>
  <si>
    <t>Keterangan</t>
  </si>
  <si>
    <t>PL5</t>
  </si>
  <si>
    <t>pro&gt;; kec 4%; nec 1%; fil&gt;</t>
  </si>
  <si>
    <t>6,40</t>
  </si>
  <si>
    <t>8,80</t>
  </si>
  <si>
    <t>PL6</t>
  </si>
  <si>
    <t>pro&gt;; fil.tip&gt;; kec 5%; nec 2%; can 1%</t>
  </si>
  <si>
    <t>7,37</t>
  </si>
  <si>
    <t>9,75</t>
  </si>
  <si>
    <t>PL7</t>
  </si>
  <si>
    <t>pro&gt;; fil&gt;; kec 3%; nec 4%; can 3%</t>
  </si>
  <si>
    <t>7,93</t>
  </si>
  <si>
    <t>10,43</t>
  </si>
  <si>
    <t>chloramin 10 ppm</t>
  </si>
  <si>
    <t xml:space="preserve"> </t>
  </si>
  <si>
    <t>PL8</t>
  </si>
  <si>
    <t>pro&gt;; kec 2%; nec 6%; can 10%; mati 2%</t>
  </si>
  <si>
    <t>7,90</t>
  </si>
  <si>
    <t>11,68</t>
  </si>
  <si>
    <t>masih sisa</t>
  </si>
  <si>
    <t>PL9</t>
  </si>
  <si>
    <t>8,57</t>
  </si>
  <si>
    <t>12,14</t>
  </si>
  <si>
    <t>Microbiology</t>
  </si>
  <si>
    <t>Abnormal nauplii</t>
  </si>
  <si>
    <t>prob random bottle</t>
  </si>
  <si>
    <t>85y</t>
  </si>
  <si>
    <t>Time</t>
  </si>
  <si>
    <t>MAT A (Lampung)</t>
  </si>
  <si>
    <t>BALI</t>
  </si>
  <si>
    <t>pm</t>
  </si>
  <si>
    <t>Air laut</t>
  </si>
  <si>
    <t>after 1</t>
  </si>
  <si>
    <t>am</t>
  </si>
  <si>
    <t>MATURATION B</t>
  </si>
  <si>
    <t>after 2</t>
  </si>
  <si>
    <t>Artemia</t>
  </si>
  <si>
    <t>Art. Beku</t>
  </si>
  <si>
    <t>Art. Chilled</t>
  </si>
  <si>
    <t>ALGAE</t>
  </si>
  <si>
    <t>Density</t>
  </si>
  <si>
    <t>Bact.</t>
  </si>
  <si>
    <t>Kualitas</t>
  </si>
  <si>
    <t>5 (DOC 2)</t>
  </si>
  <si>
    <t>A</t>
  </si>
  <si>
    <t>6 (DOC 2)</t>
  </si>
  <si>
    <t>pro&gt;; pecah 1%</t>
  </si>
  <si>
    <t>Conicle 1 (DOC 2)</t>
  </si>
  <si>
    <t>pro&gt;; pecah 1%; kosong 1%</t>
  </si>
  <si>
    <t>7 (DOC 1)</t>
  </si>
  <si>
    <t>8 (DOC 1)</t>
  </si>
  <si>
    <t>BREEDING</t>
  </si>
  <si>
    <t>Conicle 2 (DOC 1)</t>
  </si>
  <si>
    <t>Chaetos</t>
  </si>
  <si>
    <t>TW (USA)</t>
  </si>
  <si>
    <t xml:space="preserve">TP </t>
  </si>
  <si>
    <t>TW (equador)</t>
  </si>
  <si>
    <t xml:space="preserve">           </t>
  </si>
  <si>
    <t>N 2% Z1 98%</t>
  </si>
  <si>
    <t>2 ton chaetos tank DOC 1</t>
  </si>
  <si>
    <t>154y</t>
  </si>
  <si>
    <t>pro&gt;; gumpal</t>
  </si>
  <si>
    <t>1 ton chaetos tank DOC 1 + 1.5 ton thalla tank</t>
  </si>
  <si>
    <t>Z1 1% Z2 99%</t>
  </si>
  <si>
    <t>TNTCy</t>
  </si>
  <si>
    <t>pro&gt;; gumpal; 0=1%</t>
  </si>
  <si>
    <t>1 ton chaetos tank DOC 1 + 2 ton thalla tank</t>
  </si>
  <si>
    <t>Z2-Z3</t>
  </si>
  <si>
    <t>Z2 15% Z3 85%</t>
  </si>
  <si>
    <t>Z2 3% Z3 97%</t>
  </si>
  <si>
    <t>pro&gt;; mati 3%</t>
  </si>
  <si>
    <t>M1 6% M2 37% M3 36% PL 21%</t>
  </si>
  <si>
    <t>M1 2% M2 9% M3 64% PL 25%</t>
  </si>
  <si>
    <t>pro&gt;; vort&gt;; PM 1%; penvort 4%</t>
  </si>
  <si>
    <t>M1 3% M2 9% M3 36% PL 52%</t>
  </si>
  <si>
    <t>M1 2% M2 5% M3 23% PL 70%</t>
  </si>
  <si>
    <t>pro&gt;; vort&gt;; nec 1%; 0=1%</t>
  </si>
  <si>
    <t>M2 2% M3 6% PL 92%</t>
  </si>
  <si>
    <t>M3 5% PL 95%</t>
  </si>
  <si>
    <t>pro&gt;; vort&gt;; PM 2%; nec 1%; can 1%; penvort 3%</t>
  </si>
  <si>
    <t>M3 4% PL 96%</t>
  </si>
  <si>
    <t>pro&gt;; vort&gt;; AK; can 2%; nec 1%</t>
  </si>
  <si>
    <t>PL3</t>
  </si>
  <si>
    <t>Transfer</t>
  </si>
  <si>
    <t>pro&gt;; kec 2%; can 1%; nec 2%</t>
  </si>
  <si>
    <t>10 ppm</t>
  </si>
  <si>
    <t>5,57</t>
  </si>
  <si>
    <t>9,05</t>
  </si>
  <si>
    <t>pro&gt;; fil&gt;; kec 5%; nec 4%; can 2%</t>
  </si>
  <si>
    <t>7,00</t>
  </si>
  <si>
    <t>9,93</t>
  </si>
  <si>
    <t>pro&gt;; fil&gt;; kec 6%; nec 7%; can 3%</t>
  </si>
  <si>
    <t>7,73</t>
  </si>
  <si>
    <t>9,56</t>
  </si>
  <si>
    <t>pro&gt;; kec 6%; nec 9%; can 5%</t>
  </si>
  <si>
    <t>8,40</t>
  </si>
  <si>
    <t>8,62</t>
  </si>
  <si>
    <t>8,53</t>
  </si>
  <si>
    <t>11,81</t>
  </si>
  <si>
    <t>119y</t>
  </si>
  <si>
    <t>1y</t>
  </si>
  <si>
    <t>7 (DOC 2)</t>
  </si>
  <si>
    <t>2g</t>
  </si>
  <si>
    <t>8 (DOC 2)</t>
  </si>
  <si>
    <t>pro&gt;; kosong 1%</t>
  </si>
  <si>
    <t>Conicle 2 (DOC 2)</t>
  </si>
  <si>
    <t>pro&gt;; pecah 2%</t>
  </si>
  <si>
    <t>9 (DOC 1)</t>
  </si>
  <si>
    <t>10 (DOC 1)</t>
  </si>
  <si>
    <t>abn 1%</t>
  </si>
  <si>
    <t>Conicle 3 (DOC 1)</t>
  </si>
  <si>
    <t>pro&gt;; abn 1%</t>
  </si>
  <si>
    <t>N 80% Z1 20%</t>
  </si>
  <si>
    <t>PM 2%</t>
  </si>
  <si>
    <t>1.5 ton chaetos tank</t>
  </si>
  <si>
    <t>213y</t>
  </si>
  <si>
    <t>mati 2%</t>
  </si>
  <si>
    <t>1 ton chaetos tank + 1.5 ton thalla tank</t>
  </si>
  <si>
    <t>41y</t>
  </si>
  <si>
    <t>pro&gt;; 0=2%</t>
  </si>
  <si>
    <t>0.5 ton chaetos tank + 2 ton thalla tank</t>
  </si>
  <si>
    <t>Z2 42% Z3 58%</t>
  </si>
  <si>
    <t>Z2 13% Z3 87%</t>
  </si>
  <si>
    <t>128y</t>
  </si>
  <si>
    <t>pro&gt;; mati 4%</t>
  </si>
  <si>
    <t>Z3-M1</t>
  </si>
  <si>
    <t>Z2 1% Z3 20% M1 79%</t>
  </si>
  <si>
    <t>Z3 14% M1 86%</t>
  </si>
  <si>
    <t>3 ton thalla tank</t>
  </si>
  <si>
    <t>M1 2% M2 4% M3 13% PL 81%</t>
  </si>
  <si>
    <t>M1 2% M2 2% M3 5% PL 91%</t>
  </si>
  <si>
    <t>pro&gt;; vort&gt;; penvort 2%</t>
  </si>
  <si>
    <t>M3 3% PL 97%</t>
  </si>
  <si>
    <t>pro&gt;; vort&gt;; mati 3%; penvort 5%; can 1%</t>
  </si>
  <si>
    <t>M3 2% PL 98%</t>
  </si>
  <si>
    <t>pro&gt;; vort&gt;; kec 4%; nec 1%</t>
  </si>
  <si>
    <t>pro&gt;; vort&gt;; kec 5%; can 9%; nec 1%</t>
  </si>
  <si>
    <t>5,87</t>
  </si>
  <si>
    <t>7,40</t>
  </si>
  <si>
    <t>PL4</t>
  </si>
  <si>
    <t>kec 7%; nec 5%; can 3%</t>
  </si>
  <si>
    <t>11,62</t>
  </si>
  <si>
    <t>kec 6%; nec 5%; can 2%</t>
  </si>
  <si>
    <t>10,72</t>
  </si>
  <si>
    <t>pro&gt;; fil&gt;&gt;; kec 5%; nec 8%; can 3%</t>
  </si>
  <si>
    <t>7,27</t>
  </si>
  <si>
    <t>9,52</t>
  </si>
  <si>
    <t>pro&gt;; fil.tip&gt;; kec 8%; nec 7%; can 3%</t>
  </si>
  <si>
    <t>7,97</t>
  </si>
  <si>
    <t>10,15</t>
  </si>
  <si>
    <t>pro&gt;; kec 3%; nec 7%; can 4%</t>
  </si>
  <si>
    <t>8,87</t>
  </si>
  <si>
    <t>163y</t>
  </si>
  <si>
    <t>7y</t>
  </si>
  <si>
    <t>9 (DOC 2)</t>
  </si>
  <si>
    <t>10 (DOC 2)</t>
  </si>
  <si>
    <t>Conicle 3 (DOC 2)</t>
  </si>
  <si>
    <t>11 (DOC 1)</t>
  </si>
  <si>
    <t>12 (DOC 1)</t>
  </si>
  <si>
    <t>Conicle 4 (DOC 1)</t>
  </si>
  <si>
    <t>B1-12</t>
  </si>
  <si>
    <t>N 87% Z1 13%</t>
  </si>
  <si>
    <t>PM 1%</t>
  </si>
  <si>
    <t>0.5 ton chaetos tank + 1.5 ton thalla tank</t>
  </si>
  <si>
    <t>62y</t>
  </si>
  <si>
    <t>pro&gt;; mati 2%; foul&gt;</t>
  </si>
  <si>
    <t>Z2 19% Z3 81%</t>
  </si>
  <si>
    <t>Z2 8% Z3 92%</t>
  </si>
  <si>
    <t>186y</t>
  </si>
  <si>
    <t>Z2 3% Z3 62% M1 35%</t>
  </si>
  <si>
    <t>Z2 2% Z3 21% M1 77%</t>
  </si>
  <si>
    <t>pro&gt;; mati 4%; penvort 1%</t>
  </si>
  <si>
    <t>Z3 6% M1 72% M2 22%</t>
  </si>
  <si>
    <t>Z3 2% M1 30% M2 68%</t>
  </si>
  <si>
    <t>pro&gt;; PM 1%</t>
  </si>
  <si>
    <t>pro&gt;; vort&gt;; nec 1%; kec 5%; can 2%</t>
  </si>
  <si>
    <t>pro&gt;; vort&gt;; can 3%; kec 5%; penvort 1%</t>
  </si>
  <si>
    <t>pro&gt;; vort&gt;; nec 2%; can 2%; art&gt;; kec 6%; mati 1%</t>
  </si>
  <si>
    <t>5,50</t>
  </si>
  <si>
    <t>10,41</t>
  </si>
  <si>
    <t>flushing 1.9jt</t>
  </si>
  <si>
    <t>pro&gt;; kec 7%; nec 3%</t>
  </si>
  <si>
    <t>9,71</t>
  </si>
  <si>
    <t>pro&gt;; kec 4%; nec 4%; can 1%; jel 1%</t>
  </si>
  <si>
    <t>6,47</t>
  </si>
  <si>
    <t>12,67</t>
  </si>
  <si>
    <t>pro&gt;; kec 6%; nec 2%; can 2%</t>
  </si>
  <si>
    <t>6,43</t>
  </si>
  <si>
    <t>11,32</t>
  </si>
  <si>
    <t>pro&gt;; fil.tip&gt;; kec 8%; nec 8%; can 3%</t>
  </si>
  <si>
    <t>7,67</t>
  </si>
  <si>
    <t>9,89</t>
  </si>
  <si>
    <t>pro&gt;; kec 3%; nec 7%; can 3%; jel 1%</t>
  </si>
  <si>
    <t>8,67</t>
  </si>
  <si>
    <t>11,87</t>
  </si>
  <si>
    <t>PL10</t>
  </si>
  <si>
    <t>pro&gt;; fil&gt;; kec 5%; nec 6%; can 4%</t>
  </si>
  <si>
    <t>9,30</t>
  </si>
  <si>
    <t>11,35</t>
  </si>
  <si>
    <t>51y</t>
  </si>
  <si>
    <t>11 (DOC 2)</t>
  </si>
  <si>
    <t>12 (DOC 2)</t>
  </si>
  <si>
    <t>Conicle 4 (DOC 2)</t>
  </si>
  <si>
    <t>pro&gt;; abn 3%; pecah 1%</t>
  </si>
  <si>
    <t>1 (DOC 1)</t>
  </si>
  <si>
    <t>2 (DOC 1)</t>
  </si>
  <si>
    <t>pro&gt;; abn 2%</t>
  </si>
  <si>
    <t>Conicle 5 (DOC 1)</t>
  </si>
  <si>
    <t>N 23% Z1 77%</t>
  </si>
  <si>
    <t>84y</t>
  </si>
  <si>
    <t>pro&gt;; gumpal; foul&gt;; mati 2%</t>
  </si>
  <si>
    <t>Z2 22% Z3 78%</t>
  </si>
  <si>
    <t>Z2 6% Z3 94%</t>
  </si>
  <si>
    <t>132y</t>
  </si>
  <si>
    <t>pro&gt;; mati 2%; 0=2%</t>
  </si>
  <si>
    <t>Z2 3% Z3 30% M1 67%</t>
  </si>
  <si>
    <t>Z2 1% Z3 7% M1 92%</t>
  </si>
  <si>
    <t>Z3 14% M1 80% M2 6%</t>
  </si>
  <si>
    <t>Z3 6% M1 35% M2 59%</t>
  </si>
  <si>
    <t>M1 10% M2 10% M3 80%</t>
  </si>
  <si>
    <t>M1 7% M2 7% M3 84% PL 2%</t>
  </si>
  <si>
    <t>pro&gt;; PM 1%; can 1%; nec 1%; penvort 1%</t>
  </si>
  <si>
    <t>pro&gt;; vort&gt;; can 2%; nec 2%; kec 4%</t>
  </si>
  <si>
    <t>pro&gt;; nec 4%; can 4%; kec 8%</t>
  </si>
  <si>
    <t>10,21</t>
  </si>
  <si>
    <t>flushing 2.6jt</t>
  </si>
  <si>
    <t>pro&gt;; kec 8%; nec 6%; can 5%</t>
  </si>
  <si>
    <t>5,90</t>
  </si>
  <si>
    <t>12,07</t>
  </si>
  <si>
    <t>pro&gt;&gt;; kec 6%; nec 5%; can 4%; mati 2%</t>
  </si>
  <si>
    <t>6,77</t>
  </si>
  <si>
    <t>11,44</t>
  </si>
  <si>
    <t>pro&gt;; kec 5%; nec 5%; can 2%</t>
  </si>
  <si>
    <t>6,83</t>
  </si>
  <si>
    <t>12,79</t>
  </si>
  <si>
    <t>pro&gt;; kec 8%; nec 6%; can 2%</t>
  </si>
  <si>
    <t>6,73</t>
  </si>
  <si>
    <t>13,47</t>
  </si>
  <si>
    <t>pro&gt;; kec 3%; nec 6%; can 6%</t>
  </si>
  <si>
    <t>8,03</t>
  </si>
  <si>
    <t>10,58</t>
  </si>
  <si>
    <t>pro&gt;; kec 4%; nec 9%; can 4%</t>
  </si>
  <si>
    <t>8,90</t>
  </si>
  <si>
    <t>12,64</t>
  </si>
  <si>
    <t>PL11</t>
  </si>
  <si>
    <t>pro&gt;; fil&gt;&gt;; kec 5%; nec 9%; nec 6%; mati 2%</t>
  </si>
  <si>
    <t>9,57</t>
  </si>
  <si>
    <t>10,52</t>
  </si>
  <si>
    <t>6%; mati 1%</t>
  </si>
  <si>
    <t>4%; tel 1%</t>
  </si>
  <si>
    <t>1 (DOC 2)</t>
  </si>
  <si>
    <t>2 (DOC 2)</t>
  </si>
  <si>
    <t>pro&gt;; abn 1%; pecah 1%</t>
  </si>
  <si>
    <t>Conicle 5 (DOC 2)</t>
  </si>
  <si>
    <t>3 (DOC 1)</t>
  </si>
  <si>
    <t>4 (DOC 1)</t>
  </si>
  <si>
    <t>abn 3%</t>
  </si>
  <si>
    <t>Conicle 6 (DOC 1)</t>
  </si>
  <si>
    <t>102y</t>
  </si>
  <si>
    <t>pro&gt;; gumpal; mati 2%</t>
  </si>
  <si>
    <t>56y</t>
  </si>
  <si>
    <t>pro&gt;; mati 2%; foul&gt;; 0=1%</t>
  </si>
  <si>
    <t>1.5 ton thalla tank</t>
  </si>
  <si>
    <t>Z2 2% Z3 98%</t>
  </si>
  <si>
    <t>Z3 73% M1 27%</t>
  </si>
  <si>
    <t>Z2 34% M1 66%</t>
  </si>
  <si>
    <t>98y</t>
  </si>
  <si>
    <t>pro&gt;; mati 4%; 0=3%</t>
  </si>
  <si>
    <t>Z3 5% M1 31% M2 63% M3 1%</t>
  </si>
  <si>
    <t>Z3 1% M1 18% M2 80% M3 1%</t>
  </si>
  <si>
    <t>Z3 3% M1 20% M2 20% M3 57%</t>
  </si>
  <si>
    <t>M1 8% M2 18% M3 74%</t>
  </si>
  <si>
    <t>M1 3% M2 7% M3 22% PL 68%</t>
  </si>
  <si>
    <t>M1 2% M2 4% M3 7% PL 87%</t>
  </si>
  <si>
    <t>pro&gt;; vort&gt;; nec 1%</t>
  </si>
  <si>
    <t>pro&gt;; kec 5%; nec 6%; can 4%</t>
  </si>
  <si>
    <t>5,70</t>
  </si>
  <si>
    <t>8,18</t>
  </si>
  <si>
    <t>flushing 1.8jt</t>
  </si>
  <si>
    <t>kec 6%; nec 4%; can 3%</t>
  </si>
  <si>
    <t>5,97</t>
  </si>
  <si>
    <t>12,82</t>
  </si>
  <si>
    <t>pro&gt;&gt;; vort&gt;; kec 6%; nec 5%; can 4%</t>
  </si>
  <si>
    <t>6,33</t>
  </si>
  <si>
    <t>11,23</t>
  </si>
  <si>
    <t>pro&gt;; fil&gt;; fil.air&gt;; kec 8%; nec 4%; can 3%</t>
  </si>
  <si>
    <t>6,97</t>
  </si>
  <si>
    <t>11,61</t>
  </si>
  <si>
    <t>pro&gt;; kec 4%; nec 8%; can 2%</t>
  </si>
  <si>
    <t>7,33</t>
  </si>
  <si>
    <t>13,56</t>
  </si>
  <si>
    <t>pro&gt;; fil.tip&gt;; kec 7%; nec 6%; can 3%</t>
  </si>
  <si>
    <t>7,17</t>
  </si>
  <si>
    <t>13,25</t>
  </si>
  <si>
    <t>NC</t>
  </si>
  <si>
    <t>pro&gt;; kec 3%; nec 7%; can 6%</t>
  </si>
  <si>
    <t>9,67</t>
  </si>
  <si>
    <t>10,98</t>
  </si>
  <si>
    <t>PL12</t>
  </si>
  <si>
    <t>pro&gt;; fil&gt;; kec 5%; nec 8%; can 5%; mati 3%</t>
  </si>
  <si>
    <t>10,33</t>
  </si>
  <si>
    <t>11,74</t>
  </si>
  <si>
    <t>3 (DOC 2)</t>
  </si>
  <si>
    <t>4 (DOC 2)</t>
  </si>
  <si>
    <t>Conicle 6 (DOC 2)</t>
  </si>
  <si>
    <t>5 (DOC 1)</t>
  </si>
  <si>
    <t>6 (DOC 1)</t>
  </si>
  <si>
    <t>Conicle 7 (DOC 1)</t>
  </si>
  <si>
    <t>pro&gt;; gumpal; fil.air&gt;</t>
  </si>
  <si>
    <t>Z2 23% Z3 77%</t>
  </si>
  <si>
    <t>32y</t>
  </si>
  <si>
    <t>pro&gt;; foul&gt;; mati 3%</t>
  </si>
  <si>
    <t>Z3 15% M1 85%</t>
  </si>
  <si>
    <t>Z3 10% M1 90%</t>
  </si>
  <si>
    <t>Z3 6% M1 92% M2 2%</t>
  </si>
  <si>
    <t>Z3 1% M1 83% M2 16%</t>
  </si>
  <si>
    <t>M1 13% M2 12% M3 75%</t>
  </si>
  <si>
    <t>M1 5% M2 11% M3 84%</t>
  </si>
  <si>
    <t>M1 3% M2 6% M3 69% PL 22%</t>
  </si>
  <si>
    <t>M1 2% M2 3% M3 26% PL 69%</t>
  </si>
  <si>
    <t>M2 1% M3 10% PL 89%</t>
  </si>
  <si>
    <t>pro&gt;; can 1%; nec 1%; penvort 1%</t>
  </si>
  <si>
    <t>pro&gt;; kec 6%; can 5%; nec 3%</t>
  </si>
  <si>
    <t>6,13</t>
  </si>
  <si>
    <t>11,91</t>
  </si>
  <si>
    <t>pro&gt;; kec 3%; nec 5%; jel 2%; vort&gt;</t>
  </si>
  <si>
    <t>13,30</t>
  </si>
  <si>
    <t>pro&gt;&gt;; fil&gt;; kec 3%; nec 4%; can 1%</t>
  </si>
  <si>
    <t>10,93</t>
  </si>
  <si>
    <t>pro&gt;; fil&gt;; kec 3%; can 7%; nec 6%</t>
  </si>
  <si>
    <t>7,47</t>
  </si>
  <si>
    <t>9,78</t>
  </si>
  <si>
    <t>pro&gt;; kec 4%; nec 8%; can 3%</t>
  </si>
  <si>
    <t>9,61</t>
  </si>
  <si>
    <t>pro&gt;; kec 3%; can 9%; nec 8%; jel 1%</t>
  </si>
  <si>
    <t>7,80</t>
  </si>
  <si>
    <t>10,86</t>
  </si>
  <si>
    <t>PL13</t>
  </si>
  <si>
    <t>pro&gt;; pecah 1%; abn 1%</t>
  </si>
  <si>
    <t>Conicle 7 (DOC 2)</t>
  </si>
  <si>
    <t>abn 2%</t>
  </si>
  <si>
    <t>Conicle 8 (DOC 1)</t>
  </si>
  <si>
    <t>129y</t>
  </si>
  <si>
    <t>mati 4%</t>
  </si>
  <si>
    <t>72y</t>
  </si>
  <si>
    <t>pro&gt;; mati 3%; 0=2%</t>
  </si>
  <si>
    <t>Z2 38% Z3 62%</t>
  </si>
  <si>
    <t>Z2 17% Z3 83%</t>
  </si>
  <si>
    <t>143y</t>
  </si>
  <si>
    <t>pro&gt;; gumpal; foul&gt;; mati 4%</t>
  </si>
  <si>
    <t>Z2 2% Z3 22% M1 76%</t>
  </si>
  <si>
    <t>pro&gt;; mati 1%</t>
  </si>
  <si>
    <t>M1 29% M3 1% M2 70%</t>
  </si>
  <si>
    <t>M1 15% M2 82% M3 3%</t>
  </si>
  <si>
    <t>M1 12% M2 15% PL 73%</t>
  </si>
  <si>
    <t>M1 9% M2 9% M3 82%</t>
  </si>
  <si>
    <t>pro&gt;; mati 2%; PM 1%</t>
  </si>
  <si>
    <t>1 ton thalla conicle</t>
  </si>
  <si>
    <t>M1 1% M2 4% M3 17% PL 78%</t>
  </si>
  <si>
    <t>M2 5% M3 15% PL 80%</t>
  </si>
  <si>
    <t>pro&gt;; vort&gt;; nec 2%; penvort 3%</t>
  </si>
  <si>
    <t>M2 5% M3 14% PL 81%</t>
  </si>
  <si>
    <t>M2 3% M3 4% PL 93%</t>
  </si>
  <si>
    <t>pro&gt;; can 1%; nec 1%</t>
  </si>
  <si>
    <t>pro&gt;; nec 2%; mati 2%</t>
  </si>
  <si>
    <t>15 ppm</t>
  </si>
  <si>
    <t>pro&gt;; kec 3%; can 1%; nec 3%</t>
  </si>
  <si>
    <t>6,80</t>
  </si>
  <si>
    <t>8,97</t>
  </si>
  <si>
    <t>pro&gt;; fil&gt;; kec 6%; nec 4%; can 2%; jel 1%</t>
  </si>
  <si>
    <t>10,80</t>
  </si>
  <si>
    <t>pro&gt;&gt;; kec 3%; nec 6%; can 3%; fil&gt;</t>
  </si>
  <si>
    <t>8,27</t>
  </si>
  <si>
    <t>pro&gt;&gt;; kec 2%; nec 9%; can 11%</t>
  </si>
  <si>
    <t>8,37</t>
  </si>
  <si>
    <t>11,42</t>
  </si>
  <si>
    <t xml:space="preserve"> 7%; mati 1%</t>
  </si>
  <si>
    <t>Conicle 8 (DOC 2)</t>
  </si>
  <si>
    <t>pro&gt;; abn 2%; pecah 2%</t>
  </si>
  <si>
    <t>Conicle 1 (DOC 1)</t>
  </si>
  <si>
    <t>pro&gt;; kosong 3%; abn 3%</t>
  </si>
  <si>
    <t>N 11% Z1 89%</t>
  </si>
  <si>
    <t>116y</t>
  </si>
  <si>
    <t>1 ton chaetos tank</t>
  </si>
  <si>
    <t>220y</t>
  </si>
  <si>
    <t>Z2 73% Z3 27%</t>
  </si>
  <si>
    <t>Z2 65% Z3 35%</t>
  </si>
  <si>
    <t>108y</t>
  </si>
  <si>
    <t>1 ton thalla tank</t>
  </si>
  <si>
    <t>Z2 5% Z3 78% M1 17%</t>
  </si>
  <si>
    <t>Z2 2% Z3 20% M1 78%</t>
  </si>
  <si>
    <t>Z3 2% M1 87% M2 11%</t>
  </si>
  <si>
    <t>Z3 1% M1 78% M2 29%</t>
  </si>
  <si>
    <t>M1 4% M2 6% M3 86% PL 4%</t>
  </si>
  <si>
    <t>M1 1% M2 4% M3 76% PL 19%</t>
  </si>
  <si>
    <t>pro&gt;; vort&gt;; mati 2%; penvort 1%</t>
  </si>
  <si>
    <t>M1 4% M2 4% M3 39% PL 53%</t>
  </si>
  <si>
    <t>M1 1% M2 3% M3 14% PL 82%</t>
  </si>
  <si>
    <t>pro&gt;; art&gt;; mati 2%; can 1%</t>
  </si>
  <si>
    <t>M2 2% M3 5% PL 93%</t>
  </si>
  <si>
    <t>M2 1% M3 3% PL 96%</t>
  </si>
  <si>
    <t>pro&gt;; vort&gt;; nec 1%; can 1%</t>
  </si>
  <si>
    <t>pro&gt;; vort&gt;; zoo&gt;; can 3%</t>
  </si>
  <si>
    <t>pro&gt;; can 2%; nec 1%; kec 8%</t>
  </si>
  <si>
    <t>5,67</t>
  </si>
  <si>
    <t>10,70</t>
  </si>
  <si>
    <t>pro&gt;; fil&gt;; kec 4%; can 4%; nec 5%; jel 1%</t>
  </si>
  <si>
    <t>7,20</t>
  </si>
  <si>
    <t>8,48</t>
  </si>
  <si>
    <t>pro&gt;; fil&gt;; can 2%; nec 4%; kec 3%</t>
  </si>
  <si>
    <t>7,77</t>
  </si>
  <si>
    <t>9,96</t>
  </si>
  <si>
    <t>pro&gt;; kec 2%; can 3%; nec 7%</t>
  </si>
  <si>
    <t>8,07</t>
  </si>
  <si>
    <t>9,73</t>
  </si>
  <si>
    <t>8,63</t>
  </si>
  <si>
    <t>9,37</t>
  </si>
  <si>
    <t>TNTC y</t>
  </si>
  <si>
    <t>88y</t>
  </si>
  <si>
    <t>N 20% Z1 80%</t>
  </si>
  <si>
    <t>2y</t>
  </si>
  <si>
    <t>mati 3%; PM 1%; 0=1%</t>
  </si>
  <si>
    <t>Z2 7% Z3 93%</t>
  </si>
  <si>
    <t>Z2 19% Z3 77% M1 4%</t>
  </si>
  <si>
    <t>Z2 8% Z3 75% M1 17%</t>
  </si>
  <si>
    <t>pro&gt;; mati 5%(Z2); foul&gt;</t>
  </si>
  <si>
    <t>Z3 9% M1 83% M2 8%</t>
  </si>
  <si>
    <t>Z3 6% M1 30% M2 64%</t>
  </si>
  <si>
    <t>pro&gt;; foul&gt;</t>
  </si>
  <si>
    <t>M1 13% M2 16% M3 71%</t>
  </si>
  <si>
    <t>M1 5% M2 14% M3 81%</t>
  </si>
  <si>
    <t>pro&gt;; vort&gt;; PM 1%; nec 1%; jel 1%</t>
  </si>
  <si>
    <t>M2 1% M3 13% PL 86%</t>
  </si>
  <si>
    <t>M3 7% PL 93%</t>
  </si>
  <si>
    <t>pro&gt;; vort&gt;; can 3%; penvort 24%; mati 3%</t>
  </si>
  <si>
    <t>M3 9% PL 91%</t>
  </si>
  <si>
    <t>pro&gt;; penvort 2%; nec 2%; vort&gt;</t>
  </si>
  <si>
    <t>pro&gt;; vort&gt;; zoo&gt;; can 3%; nec 2%; penvort 3%; kec 4%</t>
  </si>
  <si>
    <t>pro&gt;; kec 11%; nec 7%; can 5%</t>
  </si>
  <si>
    <t>12,55</t>
  </si>
  <si>
    <t>pro&gt;; nec 2%; kec 4%</t>
  </si>
  <si>
    <t>6,00</t>
  </si>
  <si>
    <t>pro&gt;; fil&gt;; kec 5%; nec 6%; can 8%</t>
  </si>
  <si>
    <t>7,91</t>
  </si>
  <si>
    <t>pro&gt;; kec 6%; can 7%; nec 9%</t>
  </si>
  <si>
    <t>8,13</t>
  </si>
  <si>
    <t>8,98</t>
  </si>
  <si>
    <t>8,20</t>
  </si>
  <si>
    <t>8,71</t>
  </si>
  <si>
    <t>8y</t>
  </si>
  <si>
    <t>pro&gt;; abn 1%; kosong 1%</t>
  </si>
  <si>
    <t>N 1% Z1 99%</t>
  </si>
  <si>
    <t>0.5 ton chaetos tank</t>
  </si>
  <si>
    <t>pro&gt;; mati 2%; 0=3%</t>
  </si>
  <si>
    <t>pro&gt;; mati 3%; PM 1%</t>
  </si>
  <si>
    <t>Z2 3% Z3 45% M1 52%</t>
  </si>
  <si>
    <t>Z3 8% M1 92%</t>
  </si>
  <si>
    <t>Z2 2% Z3 20% M1 76% M2 2%</t>
  </si>
  <si>
    <t>Z3 10% M1 82% M2 8%</t>
  </si>
  <si>
    <t>pro&gt;; foul&gt;; mati 3%; 0=1%</t>
  </si>
  <si>
    <t>M1 18% M2 50% M3 32%</t>
  </si>
  <si>
    <t>M1 9% M2 20% M3 65% PL 8%</t>
  </si>
  <si>
    <t>pro&gt;; gumpal; mati 6%; vort&gt;; penvort 9%</t>
  </si>
  <si>
    <t>M1 1% M2 5% M3 20% PL 74%</t>
  </si>
  <si>
    <t>M2 4% M3 9% PL 87%</t>
  </si>
  <si>
    <t>pro&gt;; vort&gt;; mati 4%; foul&gt;; penvort 1%</t>
  </si>
  <si>
    <t>pro&gt;; vort&gt;; penvort 7%; nec 1%; can 2%</t>
  </si>
  <si>
    <t>pro&gt;; vort&gt;; nec 1%; kec 4%;  penvort 1%</t>
  </si>
  <si>
    <t>pro&gt;; vort&gt;; can 3%; nec 10%; kec 6%</t>
  </si>
  <si>
    <t>10,46</t>
  </si>
  <si>
    <t>pro&gt;&gt;; nec 6%; can 2%; kec 6%</t>
  </si>
  <si>
    <t>13,55</t>
  </si>
  <si>
    <t>pro&gt;&gt;; nec 2%; can 4%; kec 5%; jel 1%</t>
  </si>
  <si>
    <t>6,57</t>
  </si>
  <si>
    <t>11,09</t>
  </si>
  <si>
    <t>pro&gt;; can 8%; nec 5%; kec 7%; fil&gt;&gt;</t>
  </si>
  <si>
    <t>9,01</t>
  </si>
  <si>
    <t>pro&gt;; nec 11%; can 8%; mati 2%; kec 4%</t>
  </si>
  <si>
    <t>8,43</t>
  </si>
  <si>
    <t>abn 2%; kosong 2%</t>
  </si>
  <si>
    <t>pro&gt;; kosong 2%</t>
  </si>
  <si>
    <t>0=1%</t>
  </si>
  <si>
    <t>58y</t>
  </si>
  <si>
    <t>Z2 29% Z3 71%</t>
  </si>
  <si>
    <t>Z2 14% Z3 86%</t>
  </si>
  <si>
    <t>52y</t>
  </si>
  <si>
    <t>pro&gt;; mati 4%; foul&gt;; PM 1%</t>
  </si>
  <si>
    <t>Z2 5% Z3 57% M1 38%</t>
  </si>
  <si>
    <t>Z2 1% Z3 23% M1 76%</t>
  </si>
  <si>
    <t>Z3 5% M1 76% M2 19%</t>
  </si>
  <si>
    <t>M1 20% M2 80%</t>
  </si>
  <si>
    <t>Z3 4% M1 30% M2 48% M3 18%</t>
  </si>
  <si>
    <t>M1 25% M2 28% M3 47%</t>
  </si>
  <si>
    <t>pro&gt;; foul&gt;; vort&gt;; penvort 1%; mati 2%; jel 2%</t>
  </si>
  <si>
    <t>M1 5% M2 10% M3 54% PL 31%</t>
  </si>
  <si>
    <t>M1 3% M2 6% M3 21% PL 70%</t>
  </si>
  <si>
    <t>pro&gt;; vort&gt;; penvort 4%; art&gt;; PM 1%</t>
  </si>
  <si>
    <t>M2 1% M3 7% PL 92%</t>
  </si>
  <si>
    <t>pro&gt;; vort&gt;; penvort 4%</t>
  </si>
  <si>
    <t>pro&gt;; vort&gt;; penvort 4%; can 4%; nec 1%; kec 7%</t>
  </si>
  <si>
    <t>pro&gt;; vort&gt;; nec 2%; kec 4%</t>
  </si>
  <si>
    <t>11,43</t>
  </si>
  <si>
    <t>nec 3%; can 6%; kec 9%; mati 2%; fil&gt;</t>
  </si>
  <si>
    <t>5,93</t>
  </si>
  <si>
    <t>10,78</t>
  </si>
  <si>
    <t>fil&gt;; nec 6%; can 3%; kec 10%; mati 2%</t>
  </si>
  <si>
    <t>pro&gt;; nec 4%; can 2%; kec 5%</t>
  </si>
  <si>
    <t>6,30</t>
  </si>
  <si>
    <t>11,90</t>
  </si>
  <si>
    <t>8,83</t>
  </si>
  <si>
    <t>pro&gt;; kec 6%; can 6%; nec 10%; fil&gt;&gt;</t>
  </si>
  <si>
    <t>9,54</t>
  </si>
  <si>
    <t>pro&gt;; nec 4%; can 4%; kec 6%</t>
  </si>
  <si>
    <t>9,03</t>
  </si>
  <si>
    <t>8,47</t>
  </si>
  <si>
    <t>192y</t>
  </si>
  <si>
    <t>0=2%</t>
  </si>
  <si>
    <t>1 ton chaetos tank + 1 ton thalla tank</t>
  </si>
  <si>
    <t>144y</t>
  </si>
  <si>
    <t>Z2 47% Z3 53%</t>
  </si>
  <si>
    <t>pro&gt;; mati 3%; foul&gt;</t>
  </si>
  <si>
    <t>Z2 9% Z3 38% M1 53%</t>
  </si>
  <si>
    <t>Z3 23% M1 77%</t>
  </si>
  <si>
    <t>pro&gt;; vort&gt;; mati 2%; foul&gt;</t>
  </si>
  <si>
    <t>Z3 11% M1 84% M2 5%</t>
  </si>
  <si>
    <t>Z3 5% M1 36% M2 59%</t>
  </si>
  <si>
    <t>M1 10% M2 9% M3 81%</t>
  </si>
  <si>
    <t>M1 2% M2 4% M3 91% PL 3%</t>
  </si>
  <si>
    <t>M1 11% M2 11% M3 55% PL 23%</t>
  </si>
  <si>
    <t>M1 8% M2 10% M3 59% PL 23%</t>
  </si>
  <si>
    <t>pro&gt;; penvort 8%; jel 1%</t>
  </si>
  <si>
    <t>M1 3% M2 4% M3 11% PL 82%</t>
  </si>
  <si>
    <t>M1 1% M2 1% M3 4% PL 94%</t>
  </si>
  <si>
    <t>pro&gt;; vort&gt;; nec 1%; mati 2%</t>
  </si>
  <si>
    <t>pro&gt;; vort&gt;&gt;; can 2%; nec 2%; penvort 4%; mati 3%</t>
  </si>
  <si>
    <t>pro&gt;; vort&gt;; nec 2%; can 3%; penvort 1%; kec 9%</t>
  </si>
  <si>
    <t>5,53</t>
  </si>
  <si>
    <t>pro&gt;; nec 3%; can 1%; kec 6%</t>
  </si>
  <si>
    <t>11,22</t>
  </si>
  <si>
    <t>pro&gt;&gt;; fil&gt;; kec 5%; can 1%; nec 2%; vort&gt;; jel 2%</t>
  </si>
  <si>
    <t>12,65</t>
  </si>
  <si>
    <t>pro&gt;&gt;; fil&gt;; vort&gt;; nec 3%; kec 4%</t>
  </si>
  <si>
    <t>6,17</t>
  </si>
  <si>
    <t>12,83</t>
  </si>
  <si>
    <t>pro&gt;; can 1%; nec 3%; kec 4%</t>
  </si>
  <si>
    <t>6,53</t>
  </si>
  <si>
    <t>12,54</t>
  </si>
  <si>
    <t>pro&gt;; fil&gt;; kec 5%; nec 3%; can 3%</t>
  </si>
  <si>
    <t>10,18</t>
  </si>
  <si>
    <t>pro&gt;&gt;; fil&gt;&gt;; kec 8%; can 10%; nec 7%</t>
  </si>
  <si>
    <t>9,74</t>
  </si>
  <si>
    <t>9,47</t>
  </si>
  <si>
    <t>10,65</t>
  </si>
  <si>
    <t>6%; mati 1%; tel 1%</t>
  </si>
  <si>
    <t>pro&gt;; abn 2%; kosong 1%</t>
  </si>
  <si>
    <t>44y</t>
  </si>
  <si>
    <t xml:space="preserve">pro&gt;; abn 2% </t>
  </si>
  <si>
    <t>pecah 2%</t>
  </si>
  <si>
    <t>B1-4 B7-12</t>
  </si>
  <si>
    <t>pro&gt;; mati 2%; 0=1%</t>
  </si>
  <si>
    <t>Z2 27% Z3 73%</t>
  </si>
  <si>
    <t>Z2 10% Z3 90%</t>
  </si>
  <si>
    <t>292y</t>
  </si>
  <si>
    <t>Z2 17% Z3 62% M1 21%</t>
  </si>
  <si>
    <t>Z2 8% Z3 32% M1 60%</t>
  </si>
  <si>
    <t>pro&gt;; mati 6%; foul&gt;</t>
  </si>
  <si>
    <t>Z3 10% M1 84% M2 6%</t>
  </si>
  <si>
    <t>Z3 4% M1 32% M2 64%</t>
  </si>
  <si>
    <t>M1 16% M2 53% M3 31%</t>
  </si>
  <si>
    <t>M1 9% M2 19% M3 67% PL 5%</t>
  </si>
  <si>
    <t>pro&gt;; vort&gt;; penvort 10%; PM 1%; nec 1%; mati 3%; jel 1%</t>
  </si>
  <si>
    <t>M2 6% M3 26% PL 68%</t>
  </si>
  <si>
    <t>M1 4% M2 7% M3 16% PL 73%</t>
  </si>
  <si>
    <t>M1 1% M2 3% M3 7% PL 89%</t>
  </si>
  <si>
    <t>pro&gt;; vort&gt;; penvort 2%; jel 2%</t>
  </si>
  <si>
    <t>pro&gt;; vort&gt;; nec 1%; can 1%; penvort 2%</t>
  </si>
  <si>
    <t>pro&gt;; vort&gt;; can 1%; nec 5%; kec 7%</t>
  </si>
  <si>
    <t>9,65</t>
  </si>
  <si>
    <t>pro&gt;&gt;; nec 3%; can 1%; kec 7%; jel 1%</t>
  </si>
  <si>
    <t>pro&gt;&gt;; nec 2%; can 2%; kec 9%</t>
  </si>
  <si>
    <t>9,58</t>
  </si>
  <si>
    <t>pro&gt;; fil&gt;; kec 5%; can 1%; nec 4%</t>
  </si>
  <si>
    <t>pro&gt;; fil&gt;; fil.air&gt;; nec 4%; kec 5%</t>
  </si>
  <si>
    <t>10,23</t>
  </si>
  <si>
    <t>pro&gt;; can 7%; nec 6%; kec 4%</t>
  </si>
  <si>
    <t>pro&gt;; fil&gt;; kec 7%; can 9%; nec 5%; mati 2%</t>
  </si>
  <si>
    <t>12,04</t>
  </si>
  <si>
    <t>pro&gt;&gt;; fil&gt;; kec 6%; can 7%; nec 4%; jel 2%</t>
  </si>
  <si>
    <t>11,18</t>
  </si>
  <si>
    <t>8%; mati 1%</t>
  </si>
  <si>
    <t>abn 2%; pecah 2%</t>
  </si>
  <si>
    <t>Z1 98% Z2 2%</t>
  </si>
  <si>
    <t>0=5%</t>
  </si>
  <si>
    <t>Z2 25% Z3 75%</t>
  </si>
  <si>
    <t>Z2 11% Z3 89%</t>
  </si>
  <si>
    <t>Z2 6% Z3 62% M1 32%</t>
  </si>
  <si>
    <t>Z3 22% M1 75% M2 3%</t>
  </si>
  <si>
    <t>Z3 11% M1 78% M2 11%</t>
  </si>
  <si>
    <t>pro&gt;; mati 4%; foul&gt;</t>
  </si>
  <si>
    <t>Z3 3% M1 20% M2 28% M3 49%</t>
  </si>
  <si>
    <t>Z3 1% M1 14% M2 33% M3 52%</t>
  </si>
  <si>
    <t>M1 9% M2 9% M3 49% PL 33%</t>
  </si>
  <si>
    <t>M1 3% M2 3% M3 30% PL 66%</t>
  </si>
  <si>
    <t>pro&gt;; vort&gt;; mati 5%; nec 1%; PM 1%; penvort 7%</t>
  </si>
  <si>
    <t>pro&gt;; vort&gt;; jel 2%; mati 2%; can 2%</t>
  </si>
  <si>
    <t>M2 1% M3 4% PL 95%</t>
  </si>
  <si>
    <t>pro&gt;; vort&gt;&gt;; can 4%; penvort 3%; jel 2%</t>
  </si>
  <si>
    <t>pro&gt;; vort&gt;; kec 8%; can 2%; nec 1%</t>
  </si>
  <si>
    <t>5,63</t>
  </si>
  <si>
    <t>9,87</t>
  </si>
  <si>
    <t>pro&gt;; nec 3%; kec 4%</t>
  </si>
  <si>
    <t>6,03</t>
  </si>
  <si>
    <t>10,19</t>
  </si>
  <si>
    <t>pro&gt;&gt;; nec 4%; kec 4%; can 1%</t>
  </si>
  <si>
    <t>pro&gt;; fil&gt;; can 1%; nec 10%; mati 2%; kec 5%</t>
  </si>
  <si>
    <t>9,50</t>
  </si>
  <si>
    <t>pro&gt;; fil&gt;; kec 6%; can 4%; nec 7%; mati 2%</t>
  </si>
  <si>
    <t>7,07</t>
  </si>
  <si>
    <t>9,79</t>
  </si>
  <si>
    <t>pro&gt;; nec 5%; can 3%; kec 6%; jel 2%</t>
  </si>
  <si>
    <t>pro&gt;&gt;; can 10%; nec 7%; kec 8%; jel 2%</t>
  </si>
  <si>
    <t>9,28</t>
  </si>
  <si>
    <t>pro&gt;; nec 10%; can 8%; kec 6%; fil.tip&gt;</t>
  </si>
  <si>
    <t>8,17</t>
  </si>
  <si>
    <t>9,27</t>
  </si>
  <si>
    <t xml:space="preserve"> 4%; mati 1%</t>
  </si>
  <si>
    <t>3%; tel 1%</t>
  </si>
  <si>
    <t>B1-4 B6-12+R2</t>
  </si>
  <si>
    <t>N 6% Z1 94%</t>
  </si>
  <si>
    <t>3y</t>
  </si>
  <si>
    <t>mati 2%; PM 1%</t>
  </si>
  <si>
    <t>Z1 7% Z2 93%</t>
  </si>
  <si>
    <t>Z2 63% Z3 37%</t>
  </si>
  <si>
    <t>pro&gt;; mati 4%; 0=1%</t>
  </si>
  <si>
    <t>Z2 3% Z3 49% M1 48%</t>
  </si>
  <si>
    <t>Z2 1% Z3 14% M1 85%</t>
  </si>
  <si>
    <t>Z3 10% M1 83% M2 7%</t>
  </si>
  <si>
    <t>Z3 7% M1 48% M2 45%</t>
  </si>
  <si>
    <t>pro&gt;; mati 3%; PM 2%; jel 1%; foul&gt; (Z3)</t>
  </si>
  <si>
    <t>Z3 5% M1 37% M2 40% M3 18%</t>
  </si>
  <si>
    <t>Z3 4% M1 25% M2 26% M3 47%</t>
  </si>
  <si>
    <t>pro&gt;; vort&gt;; PM 1%; jel 2%; mati 2%; penvort 8%</t>
  </si>
  <si>
    <t>M1 3% M2 8% M3 50% PL 39%</t>
  </si>
  <si>
    <t>M1 1% M2 3% M3 21% PL 75%</t>
  </si>
  <si>
    <t>pro&gt;; vort&gt;; nec 1%; penvort 2%; zoo&gt;</t>
  </si>
  <si>
    <t>M1 1% M2 2% M3 19% PL 78%</t>
  </si>
  <si>
    <t>pro&gt;; vort&gt;; penvort 3%; nec 1%; can 1%</t>
  </si>
  <si>
    <t>pro&gt;; vort&gt;; can 2%; nec 1%; penvort 6%; mati 2%; kec 5%</t>
  </si>
  <si>
    <t>nec 6%; can 9%; kec 12%</t>
  </si>
  <si>
    <t>5,33</t>
  </si>
  <si>
    <t>14,21</t>
  </si>
  <si>
    <t>pro&gt;; nec 5%; can 2%; kec 5%; jel 1%</t>
  </si>
  <si>
    <t>pro&gt;; vort&gt;; AK; nec 4%; kec 4%</t>
  </si>
  <si>
    <t>8,84</t>
  </si>
  <si>
    <t>pro&gt;; vort&gt;; nec 7%; kec 7%; can 2%</t>
  </si>
  <si>
    <t>7,03</t>
  </si>
  <si>
    <t>9,51</t>
  </si>
  <si>
    <t>pro&gt;; can 2%; nec 4%; kec 4%; fil&gt;</t>
  </si>
  <si>
    <t>7,30</t>
  </si>
  <si>
    <t>8,92</t>
  </si>
  <si>
    <t>pro&gt; fil&gt;; mati 2%; can 1%; nec 3%; kec 4%</t>
  </si>
  <si>
    <t>7,63</t>
  </si>
  <si>
    <t>9,41</t>
  </si>
  <si>
    <t>pro&gt;; nec 5%; can 1%; jel 2%; kec 5%</t>
  </si>
  <si>
    <t>7,50</t>
  </si>
  <si>
    <t>pro&gt;; can 6%; nec 4%; kec 6%</t>
  </si>
  <si>
    <t>8,00</t>
  </si>
  <si>
    <t>10,38</t>
  </si>
  <si>
    <t>11,53</t>
  </si>
  <si>
    <t>63y</t>
  </si>
  <si>
    <t>4%; mati 1%</t>
  </si>
  <si>
    <t>5y</t>
  </si>
  <si>
    <t>B1-4 B7-12+R2</t>
  </si>
  <si>
    <t>N 9% Z1 91%</t>
  </si>
  <si>
    <t>mati 5%; 0=3%</t>
  </si>
  <si>
    <t>mati 5%; foul&gt;; gumpal; 0=1%</t>
  </si>
  <si>
    <t>Z1 3% Z2 97%</t>
  </si>
  <si>
    <t>Z2 5% Z3 95%</t>
  </si>
  <si>
    <t>0.5 ton chaetos tank + 2.5 ton thalla tank</t>
  </si>
  <si>
    <t xml:space="preserve">Z2 32% Z3 56% M1 12% </t>
  </si>
  <si>
    <t>Z2 11% Z3 48% M1 41%</t>
  </si>
  <si>
    <t>pro&gt;; mati 7%; art&gt;; PM 1%; 0=2%</t>
  </si>
  <si>
    <t>Z3 7% M1 85% M2 8%</t>
  </si>
  <si>
    <t>Z3 4% M1 53% M2 43%</t>
  </si>
  <si>
    <t>pro&gt;; art&gt;; mati 2%</t>
  </si>
  <si>
    <t>2 ton thalla tank + conicle</t>
  </si>
  <si>
    <t>Z3 2% M1 12% M2 14% M3 72%</t>
  </si>
  <si>
    <t>M1 9% M2 17% M3 74%</t>
  </si>
  <si>
    <t>pro&gt;; mati 2%; PM 1%; penvort 4%; vort&gt;</t>
  </si>
  <si>
    <t>M1 15% M2 15% M3 40% PL 30%</t>
  </si>
  <si>
    <t>M1 5% M2 8% M3 33% PL 54%</t>
  </si>
  <si>
    <t>pro&gt;; vort&gt;; nec 1%; penvort 1%</t>
  </si>
  <si>
    <t>M1 1% M2 2% M3 7% PL 90%</t>
  </si>
  <si>
    <t>M2 1% M3 5% PL 94%</t>
  </si>
  <si>
    <t>pro&gt;; vort&gt;; penvort 7%; nec 1%</t>
  </si>
  <si>
    <t>pro&gt;; vort&gt;; can 4%; nec 3%; penvort 2%</t>
  </si>
  <si>
    <t>can 5%; nec 5%; mati 2%; kec 6%</t>
  </si>
  <si>
    <t>5,73</t>
  </si>
  <si>
    <t>11,16</t>
  </si>
  <si>
    <t>pro&gt;; amp gumpal; nec 5%; can 5%; kec 8%</t>
  </si>
  <si>
    <t>13,15</t>
  </si>
  <si>
    <t>pro&gt;; nec 1%; can 3%; kec 4%</t>
  </si>
  <si>
    <t>10,55</t>
  </si>
  <si>
    <t>pro&gt;; fil&gt;; kec 4%; can 1%; nec 2%</t>
  </si>
  <si>
    <t>6,93</t>
  </si>
  <si>
    <t>9,23</t>
  </si>
  <si>
    <t>pro&gt; fil.tip&gt;; nec 2%; can 1%; kec 3%</t>
  </si>
  <si>
    <t>10,39</t>
  </si>
  <si>
    <t>pro&gt;; fil&gt;; can 3%; nec 2%; kec 6%</t>
  </si>
  <si>
    <t>10,02</t>
  </si>
  <si>
    <t>pro&gt;; can 5%; nec 7%; kec 6%; fil.tip&gt;</t>
  </si>
  <si>
    <t>8,72</t>
  </si>
  <si>
    <t>pro&gt;; fil.tip&gt;; nec 9%; can 6%; kec 5%</t>
  </si>
  <si>
    <t>10,32</t>
  </si>
  <si>
    <t>pro&gt;; nec 5%; can 8%; kec 9%; mati 2%</t>
  </si>
  <si>
    <t>10,16</t>
  </si>
  <si>
    <t xml:space="preserve"> 4 (DOC 1)</t>
  </si>
  <si>
    <t>pecah 1%; abn 1%</t>
  </si>
  <si>
    <t>mati 3%; 0=1%</t>
  </si>
  <si>
    <t>pro&gt;; gumpal; mati 5%; 0=5%; foul&gt;</t>
  </si>
  <si>
    <t>Z2 2% Z3 23% M1 75%</t>
  </si>
  <si>
    <t>Z2 3% Z3 28% M1 69%</t>
  </si>
  <si>
    <t>Z3 10% M1 72% M2 18%</t>
  </si>
  <si>
    <t>pro&gt;; PM 1%; 0=4%</t>
  </si>
  <si>
    <t>Z3 3% M1 20% M2 46% M3 31%</t>
  </si>
  <si>
    <t>Z3 2% M1 14% M2 19% M3 65%</t>
  </si>
  <si>
    <t>pro&gt;; vort&gt;; mati 3%; PM 1%</t>
  </si>
  <si>
    <t>M1 9% M2 7% M3 44% PL 40%</t>
  </si>
  <si>
    <t>M1 2% M2 2% M3 23% PL 73%</t>
  </si>
  <si>
    <t>pro&gt;; vort&gt;; can 1%</t>
  </si>
  <si>
    <t>M1 4% M2 4% M3 11% PL 81%</t>
  </si>
  <si>
    <t>pro&gt;; vort&gt;; nec 1%; can 1%; penvort 1%; PM 1%; mati 3%; jel 1%</t>
  </si>
  <si>
    <t>pro&gt;; vort&gt;; mati 2%; can 2%</t>
  </si>
  <si>
    <t>pro&gt;; mati 2%; can 6%; nec 2%; vort&gt;; kec 8%</t>
  </si>
  <si>
    <t>8,70</t>
  </si>
  <si>
    <t>pro&gt;; can 3%; nec 2%; kec 4%</t>
  </si>
  <si>
    <t>pro&gt;; vort&gt;; can 3%; nec 3%; kec 7%</t>
  </si>
  <si>
    <t>10,34</t>
  </si>
  <si>
    <t>pro&gt;; can 1%; nec 2%; kec 5%</t>
  </si>
  <si>
    <t>11,19</t>
  </si>
  <si>
    <t>pro&gt;; fil&gt;; kec 4%; can 2%; nec 4%</t>
  </si>
  <si>
    <t>pro&gt;; nec 4%; can 5%; kec 6%</t>
  </si>
  <si>
    <t>8,74</t>
  </si>
  <si>
    <t>pro&gt;; fil&gt;; can 1%; nec 4%; kec 8%</t>
  </si>
  <si>
    <t>pro&gt;; fil&gt;; kec 7%; can 10%; kec 10%</t>
  </si>
  <si>
    <t>8,10</t>
  </si>
  <si>
    <t>10,92</t>
  </si>
  <si>
    <t>249y</t>
  </si>
  <si>
    <t xml:space="preserve"> 6 (DOC 1)</t>
  </si>
  <si>
    <t>188y</t>
  </si>
  <si>
    <t>foul&gt;; 0=2%; mati 3%</t>
  </si>
  <si>
    <t>Z2 40% Z3 60%</t>
  </si>
  <si>
    <t>pro&gt;; gumpal; foul&gt;; 0=4%; mati 8%; PM 3%</t>
  </si>
  <si>
    <t>Z3 35% M1 65%</t>
  </si>
  <si>
    <t>Z3 12% M1 88%</t>
  </si>
  <si>
    <t>pro&gt;; foul 4%; PM 1%</t>
  </si>
  <si>
    <t>Z3 2% M1 10% M2 88%</t>
  </si>
  <si>
    <t>pro&gt;; jel 1%; PM 1%</t>
  </si>
  <si>
    <t>Z3 5% M1 46% M2 28% M3 21%</t>
  </si>
  <si>
    <t>Z3 1% M1 18% M2 30% M3 51%</t>
  </si>
  <si>
    <t>pro&gt;; art&gt;; vort&gt;; penvort 5%; mati 5%; jel 4%</t>
  </si>
  <si>
    <t>1 ton thalla tank + 1 ton thalla conicle</t>
  </si>
  <si>
    <t>M1 11% M2 14% M3 36% PL 39%</t>
  </si>
  <si>
    <t>M1 3% M2 4% M3 17% PL 76%</t>
  </si>
  <si>
    <t>pro&gt;; vort&gt;; nec 2%; penvort 3%; mati 2%</t>
  </si>
  <si>
    <t>M2 3% M3 13% PL 84%</t>
  </si>
  <si>
    <t>pro&gt;; vort&gt;; can 3%; nec 1%</t>
  </si>
  <si>
    <t>M2 1% M3 6% PL 93%</t>
  </si>
  <si>
    <t>pro&gt;; vort&gt;; nec 2%; can 4%; penvort 1%</t>
  </si>
  <si>
    <t>pro&gt;; vort&gt;; kec 3%; nec 1%; can 5%</t>
  </si>
  <si>
    <t>5,77</t>
  </si>
  <si>
    <t>pro&gt;; kec 8%; nec 2%; can 6%</t>
  </si>
  <si>
    <t>pro&gt;; kec 2%; nec 4%; can 2%</t>
  </si>
  <si>
    <t>12,70</t>
  </si>
  <si>
    <t>pro&gt;; vort&gt;; fil.tip&gt;; kec 5%; nec 3%; can 1%</t>
  </si>
  <si>
    <t>6,90</t>
  </si>
  <si>
    <t>11,64</t>
  </si>
  <si>
    <t>pro&gt;; vort&gt;; fil.air&gt;; kec 3%; nec 6%; can 4%</t>
  </si>
  <si>
    <t>7,53</t>
  </si>
  <si>
    <t>13,83</t>
  </si>
  <si>
    <t>pro&gt;; fil&gt;; kec 3%; nec 5%; can 7%</t>
  </si>
  <si>
    <t>pro&gt;; fil&gt;; kec 5%; nec 11%; can 9%</t>
  </si>
  <si>
    <t>masih sisa; Chloramin 10 ppm</t>
  </si>
  <si>
    <t>pro&gt;; fil&gt;; kec 4%; nec 7%; can 8%</t>
  </si>
  <si>
    <t>8,77</t>
  </si>
  <si>
    <t>12,24</t>
  </si>
  <si>
    <t>pro&gt;; kec 6%; nec 11%; can 10%</t>
  </si>
  <si>
    <t>11,52</t>
  </si>
  <si>
    <t>Chloramin 10 ppm</t>
  </si>
  <si>
    <t>57y</t>
  </si>
  <si>
    <t xml:space="preserve"> 8 (DOC 1)</t>
  </si>
  <si>
    <t>N 17% Z1 83%</t>
  </si>
  <si>
    <t>68y</t>
  </si>
  <si>
    <t>Z2 37% Z3 63%</t>
  </si>
  <si>
    <t>pro&gt;; foul&gt;; mati 5%</t>
  </si>
  <si>
    <t>0.5 ton chaetos tank + 1 ton thalla conicle</t>
  </si>
  <si>
    <t>Z2 5% Z3 82% M1 13%</t>
  </si>
  <si>
    <t>Z2 3% Z3 29% M1 68%</t>
  </si>
  <si>
    <t>pro&gt;; gumpal; foul&gt;; mati 4%; PM 1%; art&gt;</t>
  </si>
  <si>
    <t>Z3 1% M1 79% M2 20%</t>
  </si>
  <si>
    <t>Z3 1% M1 16% M2 83%</t>
  </si>
  <si>
    <t>Z3 1% M1 5% M2 11% M3 83%</t>
  </si>
  <si>
    <t>M1 4% M2 7% M3 89%</t>
  </si>
  <si>
    <t>pro&gt;; vort&gt;; jel 1%; PM 1%; nec 1%</t>
  </si>
  <si>
    <t>M1 13% M2 16% M3 54% PL 17%</t>
  </si>
  <si>
    <t>M1 12% M2 14% M3 53% PL 21%</t>
  </si>
  <si>
    <t>pro&gt;; vort&gt;; mati 3%; art&gt;; penvort 5%; PM 2%; nec 2%</t>
  </si>
  <si>
    <t>M2 2% M3 8% PL 90%</t>
  </si>
  <si>
    <t>M2 1% M3 8% PL 91%</t>
  </si>
  <si>
    <t>pro&gt;; mati 2%; can 7%; nec 3%; penvort 3%; vort&gt;</t>
  </si>
  <si>
    <t>pro&gt;; vort&gt;; mati 2%; can 5%; jel 2%</t>
  </si>
  <si>
    <t>pro&gt;; vort&gt;; kec 7%; can 7%; mati 2%; fil&gt;</t>
  </si>
  <si>
    <t>5,47</t>
  </si>
  <si>
    <t>11,50</t>
  </si>
  <si>
    <t>pro&gt;; vort&gt;; kec 8%; nec 6%; can 3%</t>
  </si>
  <si>
    <t>pro&gt;; kec 5%; nec 6%; can 2%</t>
  </si>
  <si>
    <t>pro&gt;; kec 5%; nec 5%; can 1%</t>
  </si>
  <si>
    <t>13,04</t>
  </si>
  <si>
    <t>pro&gt;&gt;; vort&gt;; fil&gt;; kec 6%; nec 3%; can 3%</t>
  </si>
  <si>
    <t>pro&gt;; vort&gt;; fil.air&gt;; kec 6%; nec 5%; can 3%</t>
  </si>
  <si>
    <t>14,40</t>
  </si>
  <si>
    <t>pro&gt;; kec 5%; nec 7%; can 4%</t>
  </si>
  <si>
    <t>pro&gt;; kec 5%; nec 10%; can 8%; AK</t>
  </si>
  <si>
    <t>11,17</t>
  </si>
  <si>
    <t>pro&gt;; fil&gt;&gt;; kec 4%; nec 8%; can 4%</t>
  </si>
  <si>
    <t>12,62</t>
  </si>
  <si>
    <t>pro&gt;; fil&gt;; kec 3%; nec 6%; can 5%</t>
  </si>
  <si>
    <t>149y</t>
  </si>
  <si>
    <t>1g</t>
  </si>
  <si>
    <t>pro&gt;; kosong 1%; abn 1%</t>
  </si>
  <si>
    <t xml:space="preserve"> 10 (DOC 1)</t>
  </si>
  <si>
    <t>N 5% Z1 95%</t>
  </si>
  <si>
    <t>50y 1g</t>
  </si>
  <si>
    <t>pro&gt;; mati 5%; 0=8%</t>
  </si>
  <si>
    <t>Z2 51% Z3 49%</t>
  </si>
  <si>
    <t>Z2 41% Z3 59%</t>
  </si>
  <si>
    <t>146y</t>
  </si>
  <si>
    <t>pro&gt;; mati 4%; 0=2%</t>
  </si>
  <si>
    <t>Z2 3% Z3 70% M1 27%</t>
  </si>
  <si>
    <t>Z2 3% Z3 56% M1 41%</t>
  </si>
  <si>
    <t>Z2 1%Z3 16% M1 83%</t>
  </si>
  <si>
    <t>Z3 4% M1 76% M2 20%</t>
  </si>
  <si>
    <t>pro&gt;; vort&gt;; mati 3%; art&gt;</t>
  </si>
  <si>
    <t>M1 8% M2 35% M3 57%</t>
  </si>
  <si>
    <t>M1 6% M2 10% M3 84%</t>
  </si>
  <si>
    <t>pro&gt;; art&gt;; mati 2%; jel 1%</t>
  </si>
  <si>
    <t>M1 1% M2 4% M3 39% PL 59%</t>
  </si>
  <si>
    <t>M2 2% M3 12% PL 86%</t>
  </si>
  <si>
    <t>pro&gt;; vort&gt;; penvort 2%; nec 2%</t>
  </si>
  <si>
    <t>M1 8% M2 9% M3 20% PL 63%</t>
  </si>
  <si>
    <t>M1 7% M2 6% M3 13% PL 74%</t>
  </si>
  <si>
    <t>pro&gt;: vort&gt;; mati 4%; art&gt;; penvort 4%; PM 2%; can 1%</t>
  </si>
  <si>
    <t>pro&gt;: vort&gt;; jel 2%; can 5%</t>
  </si>
  <si>
    <t>pro&gt;; vort&gt;; kec 10%; can 4%; nec 3%; fil&gt;</t>
  </si>
  <si>
    <t>pro&gt;; kec 10%; nec 5%; can 5%; mati 2%</t>
  </si>
  <si>
    <t>6,07</t>
  </si>
  <si>
    <t>12,94</t>
  </si>
  <si>
    <t>pro&gt;&gt;; kec 6%; nec 6%; can 3%</t>
  </si>
  <si>
    <t>13,27</t>
  </si>
  <si>
    <t>pro&gt;; kec 5%; nec 7%; can 3%</t>
  </si>
  <si>
    <t>13,36</t>
  </si>
  <si>
    <t>pro&gt;; kec 6%; nec 8%; can 6%</t>
  </si>
  <si>
    <t>13,05</t>
  </si>
  <si>
    <t>pro&gt;; fil&gt;&gt;; kec 5%; nec 8%; can 4%</t>
  </si>
  <si>
    <t>7,70</t>
  </si>
  <si>
    <t>pro&gt;&gt;; kec 3%; nec 7%; can 4%</t>
  </si>
  <si>
    <t>13,46</t>
  </si>
  <si>
    <t>pro&gt;; fil&gt;; kec 5%; nec 10%; can 5%</t>
  </si>
  <si>
    <t>12,95</t>
  </si>
  <si>
    <t>pro&gt;; kec 6%; nec 10%; can 6%</t>
  </si>
  <si>
    <t>9,00</t>
  </si>
  <si>
    <t>13,37</t>
  </si>
  <si>
    <t>10,00</t>
  </si>
  <si>
    <t>13,39</t>
  </si>
  <si>
    <t>216y</t>
  </si>
  <si>
    <t>pecah 1%; abn 1%; kosong 1%</t>
  </si>
  <si>
    <t xml:space="preserve"> 12 (DOC 1)</t>
  </si>
  <si>
    <t>kosong 1%</t>
  </si>
  <si>
    <t>kosong 3%; pecah 2%</t>
  </si>
  <si>
    <t>N 10% Z1 90%</t>
  </si>
  <si>
    <t>B</t>
  </si>
  <si>
    <t xml:space="preserve">Z1 96% Z2 4% </t>
  </si>
  <si>
    <t>38y</t>
  </si>
  <si>
    <t>Z1 2% Z2 98%</t>
  </si>
  <si>
    <t>9y</t>
  </si>
  <si>
    <t>Z2 85% Z3 15%</t>
  </si>
  <si>
    <t>Z2 49% Z3 51%</t>
  </si>
  <si>
    <t>Z2 9% Z3 82% M1 9%</t>
  </si>
  <si>
    <t>Z2 6% Z3 65% M1 29%</t>
  </si>
  <si>
    <t>Z2 1% Z3 12% M1 79% M2 8%</t>
  </si>
  <si>
    <t>Z3 10% M1 24% M2 66%</t>
  </si>
  <si>
    <t>pro&gt;; foul&gt;; PM 1%; mati 3%</t>
  </si>
  <si>
    <t>Z3 1% M1 15% M2 60% M3 24%</t>
  </si>
  <si>
    <t xml:space="preserve">M1 9% M2 35% M3 56% </t>
  </si>
  <si>
    <t>pro&gt;; vort&gt;; art&gt;; mati 3%; jel 2%; penvort 7%</t>
  </si>
  <si>
    <t>M1 2% M2 5% M3 40% PL 53%</t>
  </si>
  <si>
    <t>M1 2% M2 2% M3 26% PL 70%</t>
  </si>
  <si>
    <t>pro&gt;; nec 2%</t>
  </si>
  <si>
    <t>pro&gt;; vort&gt;; mati 3%; can 3%; nec 3%; penvort 2%</t>
  </si>
  <si>
    <t>M1 2% M2 3% M3 10% PL 85%</t>
  </si>
  <si>
    <t>M2 2% M3 13% PL 85%</t>
  </si>
  <si>
    <t>pro&gt;; vort&gt;; nec 2%; can 2%</t>
  </si>
  <si>
    <t>AK; pro&gt;; vort&gt;; kec 8%; jel 3%; mati 2%; nec 6%; can 3%</t>
  </si>
  <si>
    <t>11,66</t>
  </si>
  <si>
    <t>pro&gt;; fil.air&gt;; kec 7%; nec 6%; can 4%</t>
  </si>
  <si>
    <t>11,58</t>
  </si>
  <si>
    <t>pro&gt;&gt;; vort&gt;; kec 8%; nec 3%</t>
  </si>
  <si>
    <t>6,50</t>
  </si>
  <si>
    <t>14,43</t>
  </si>
  <si>
    <t>pro&gt;; fil.tip&gt;; kec 7%; nec 5%; can 2%</t>
  </si>
  <si>
    <t>12,44</t>
  </si>
  <si>
    <t>pro&gt;; fil.air&gt;; kec 4%; nec 6%; can 1%</t>
  </si>
  <si>
    <t>pro&gt;; kec 4%; nec 9%; can 5%</t>
  </si>
  <si>
    <t>13,12</t>
  </si>
  <si>
    <t>pro&gt;; fil&gt;; kec 5%; nec 3%; can 1%</t>
  </si>
  <si>
    <t>13,93</t>
  </si>
  <si>
    <t>pro&gt;; vort&gt;; kec 6%; nec 5%; can 4%</t>
  </si>
  <si>
    <t>14,74</t>
  </si>
  <si>
    <t>pro&gt;; fil&gt;; kec 6%; nec 5%; can 2%</t>
  </si>
  <si>
    <t>9,17</t>
  </si>
  <si>
    <t xml:space="preserve"> 2 (DOC 1)</t>
  </si>
  <si>
    <t>2 ton chaetos tank</t>
  </si>
  <si>
    <t xml:space="preserve">Z1 97% Z2 3% </t>
  </si>
  <si>
    <t>Z2 94% Z3 6%</t>
  </si>
  <si>
    <t>Z2 60% Z3 40%</t>
  </si>
  <si>
    <t>Z2 18% Z3 82%</t>
  </si>
  <si>
    <t>Z2 9% Z3 77% M1 14%</t>
  </si>
  <si>
    <t>Z2 3% Z3 20% M1 72% M2 5%</t>
  </si>
  <si>
    <t>Z2 2% Z3 11% M1 68% M2 19%</t>
  </si>
  <si>
    <t>Z3 2% M1 20% M2 66% M3 12%</t>
  </si>
  <si>
    <t>M1 10% M2 17% M3 73%</t>
  </si>
  <si>
    <t>pro&gt;; mati 2%; penvort 6%</t>
  </si>
  <si>
    <t>M1 3% M2 10% M3 52% PL 35%</t>
  </si>
  <si>
    <t>M2 5% M3 20% PL 75%</t>
  </si>
  <si>
    <t>pro&gt;; nec 1%; mati 2%; PM 2%; art&gt;; penvort 4%</t>
  </si>
  <si>
    <t>M2 1% M3 9% PL 90%</t>
  </si>
  <si>
    <t>pro&gt;; penvort 1%; nec 1%; vort&gt;</t>
  </si>
  <si>
    <t>pro&gt;; vort&gt;; can 5%; nec 2%; penvort 1%; jel 1%</t>
  </si>
  <si>
    <t>vort&gt;; kec 11%; nec 5%; can 6%; mati 2%</t>
  </si>
  <si>
    <t>11,36</t>
  </si>
  <si>
    <t>pro&gt;; kec 5%; nec 3%; can 3%</t>
  </si>
  <si>
    <t>pro&gt;; kec 7%; nec 5%; can 3%</t>
  </si>
  <si>
    <t>13,34</t>
  </si>
  <si>
    <t>pro&gt;; kec 7%; nec 3%; can 1%</t>
  </si>
  <si>
    <t>13,38</t>
  </si>
  <si>
    <t>pro&gt;; kec 3%; nec 6%; can 3%</t>
  </si>
  <si>
    <t>14,26</t>
  </si>
  <si>
    <t>peo&gt;&gt;; kec 2%; nec 6%; can 4%</t>
  </si>
  <si>
    <t>15,19</t>
  </si>
  <si>
    <t>pro&gt;; kec 7%; nec 6%; can 5%</t>
  </si>
  <si>
    <t>14,05</t>
  </si>
  <si>
    <t>pro&gt;; kec 4%; nec 8%; can 5%; mati 2%</t>
  </si>
  <si>
    <t>13,82</t>
  </si>
  <si>
    <t>9,07</t>
  </si>
  <si>
    <t>13,57</t>
  </si>
  <si>
    <t>50y</t>
  </si>
  <si>
    <t>6%; tel 1%</t>
  </si>
  <si>
    <t>pro&gt;; pecah 1%; abn 1%; kosong 1%</t>
  </si>
  <si>
    <t>Z2 97% Z3 3%</t>
  </si>
  <si>
    <t>137y</t>
  </si>
  <si>
    <t>Z2 20% Z3 80%</t>
  </si>
  <si>
    <t>Z2 17% Z3 78% M1 5%</t>
  </si>
  <si>
    <t>Z2 13% Z3 77% M1 10%</t>
  </si>
  <si>
    <t>Z2 5% Z3 73% M1 22%</t>
  </si>
  <si>
    <t>pro&gt;; mati 5%; PM 1%; 0=7%</t>
  </si>
  <si>
    <t>Z2 3% Z3 25% M1 72%</t>
  </si>
  <si>
    <t>Z3 8% M1 86% M2 6%</t>
  </si>
  <si>
    <t>pro&gt;; art&gt;; foul&gt;; mati 7%; PM 2%; jel 6% (0)</t>
  </si>
  <si>
    <t>Z3 3% M1 23% M2 56% M3 18%</t>
  </si>
  <si>
    <t>M1 17% M2 48% M3 35%</t>
  </si>
  <si>
    <t>pro&gt;; AK; PM 4%; mati 3%; nec 2%; jel 3%</t>
  </si>
  <si>
    <t>M1 6% M2 4% M3 25% PL 65%</t>
  </si>
  <si>
    <t>M1 6% M2 3% M3 20% PL 71%</t>
  </si>
  <si>
    <t>pro&gt;; vort&gt;; mati 2%; PM 2%; jel 2%; penvort 2%; nec 2%</t>
  </si>
  <si>
    <t>M2 3% M3 5% PL 92%</t>
  </si>
  <si>
    <t>pro&gt;; vort&gt;; mati 2%; jel 2%; can 2%; nec 1%</t>
  </si>
  <si>
    <t>pro&gt;; vort&gt;; can 1%; nec 1%</t>
  </si>
  <si>
    <t>kec 9%; nec 8%; can 5%</t>
  </si>
  <si>
    <t>kec 10%; nec 8%; can 8%; mati 2%</t>
  </si>
  <si>
    <t>pro&gt;; kec 9%; nec 6%; can 4%; jel 1%</t>
  </si>
  <si>
    <t>12,47</t>
  </si>
  <si>
    <t>pro&gt;; vort&gt;; kec 6%; nec 4%; can 3%</t>
  </si>
  <si>
    <t>6,63</t>
  </si>
  <si>
    <t>13,42</t>
  </si>
  <si>
    <t>pro&gt;; kec 7%; nec 6%</t>
  </si>
  <si>
    <t>13,53</t>
  </si>
  <si>
    <t>pro&gt;; kec 6%; nec 4%; can 2%</t>
  </si>
  <si>
    <t>pro&gt;; kec 5%; nec 7%; can 7%</t>
  </si>
  <si>
    <t>14,62</t>
  </si>
  <si>
    <t>pro&gt;; kec 4%; nec 7%; can 3%</t>
  </si>
  <si>
    <t>15,50</t>
  </si>
  <si>
    <t>pro&gt;; vort&gt;; kec 4%; nec 6%; can 2%</t>
  </si>
  <si>
    <t>8,60</t>
  </si>
  <si>
    <t>13,52</t>
  </si>
  <si>
    <t>12y 5g</t>
  </si>
  <si>
    <t>Z1 4% Z2 96%</t>
  </si>
  <si>
    <t>4y</t>
  </si>
  <si>
    <t>2y 1g</t>
  </si>
  <si>
    <t>pro&gt;; gumpal; mati 3%</t>
  </si>
  <si>
    <t>Z2 2% Z3 40% M1 58%</t>
  </si>
  <si>
    <t>pro&gt;; PM 2%</t>
  </si>
  <si>
    <t>Z2 1% Z3 20% M1 75% M2 4%</t>
  </si>
  <si>
    <t>Z3 12% M1 76% M2 12%</t>
  </si>
  <si>
    <t>pro&gt;; gumpal; mati 8%; jel 5%; foul&gt;; 0=5%</t>
  </si>
  <si>
    <t>Z3 5% M1 39% M2 50% M3 6%</t>
  </si>
  <si>
    <t>Z3 3% M1 25% M2 54% M3 18%</t>
  </si>
  <si>
    <t>pro&gt;; art&gt;; mati 7%; jel 3%; vort&gt;</t>
  </si>
  <si>
    <t xml:space="preserve">1 ton thalla tank </t>
  </si>
  <si>
    <t>M1 8% M2 39% M3 27% PL 26%</t>
  </si>
  <si>
    <t>M1 8% M2 6% M3 21% PL 65%</t>
  </si>
  <si>
    <t>pro&gt;; art&gt;</t>
  </si>
  <si>
    <t>M1 3% M2 2% M3 5% PL 90%</t>
  </si>
  <si>
    <t>M2 4% M3 6% PL 90%</t>
  </si>
  <si>
    <t>pro&gt;; vort&gt;; mati 2%; can 4%; fil&gt;</t>
  </si>
  <si>
    <t>pro&gt;; vort&gt;; nec 2%; can 2%; fil&gt;</t>
  </si>
  <si>
    <t>pro&gt;; mati 2%; jel 2%; kec 9%; can 5%; vort&gt;</t>
  </si>
  <si>
    <t>flushing 2.8jt</t>
  </si>
  <si>
    <t>pro&gt;; kec 5%; nec 3%; can 1%; PM 1%</t>
  </si>
  <si>
    <t>pro&gt;; kec 6%; nec 5%; can 4%</t>
  </si>
  <si>
    <t>11,65</t>
  </si>
  <si>
    <t>pro&gt;; vort&gt;; kec 5%; nec 4% can 1%; AK</t>
  </si>
  <si>
    <t>6,27</t>
  </si>
  <si>
    <t>11,80</t>
  </si>
  <si>
    <t>pro&gt;; kec 4%; nec 5%; can 1%</t>
  </si>
  <si>
    <t>12,52</t>
  </si>
  <si>
    <t>prop&gt;; kec 3%; nec 6%; can 2%</t>
  </si>
  <si>
    <t>prpo&gt;; kec 5%; nec 5%; can 3%</t>
  </si>
  <si>
    <t>7,87</t>
  </si>
  <si>
    <t>14,06</t>
  </si>
  <si>
    <t>pro&gt;&gt;; kec 4%; nec 7%; can 5%</t>
  </si>
  <si>
    <t>13,48</t>
  </si>
  <si>
    <t>pro&gt;; kec 5%; nec 8%; can 5%</t>
  </si>
  <si>
    <t>15,11</t>
  </si>
  <si>
    <t>2%; tel 1%</t>
  </si>
  <si>
    <t>pecah 1%</t>
  </si>
  <si>
    <t>C</t>
  </si>
  <si>
    <t>pecah 16%; kosong 4%; abn 1%</t>
  </si>
  <si>
    <t>140y</t>
  </si>
  <si>
    <t>29y</t>
  </si>
  <si>
    <t>pro&gt;; mati 6%; gumpal; 0=3%</t>
  </si>
  <si>
    <t>Z2 77% Z3 23%</t>
  </si>
  <si>
    <t>pro&gt;; gumpal; mati 5%</t>
  </si>
  <si>
    <t>Z3 16% M1 84%</t>
  </si>
  <si>
    <t>Z3 5% M1 95%</t>
  </si>
  <si>
    <t>Z3 3% M1 29% M2 68%</t>
  </si>
  <si>
    <t>Z3 3% M1 11% M2 82% M3 4%</t>
  </si>
  <si>
    <t>Z3 4% M1 13% M2 58% M3 25%</t>
  </si>
  <si>
    <t>M1 17% M2 47% M3 36%</t>
  </si>
  <si>
    <t>pro&gt;; gumpal; jel 2%; art&gt;; mati 4%</t>
  </si>
  <si>
    <t xml:space="preserve">1.5 ton thalla tank </t>
  </si>
  <si>
    <t>Z3 1% M1 12% M2 25% M3 53% PL 5%</t>
  </si>
  <si>
    <t>M1 10% M2 14% M3 57% PL 19%</t>
  </si>
  <si>
    <t>pro&gt;: vort&gt;; art&gt;; mati 3%; penvort 2%</t>
  </si>
  <si>
    <t>M1 3% M2 3% M3 15% PL 79%</t>
  </si>
  <si>
    <t>M2 5% M3 11% PL 84%</t>
  </si>
  <si>
    <t>pro&gt;; vort&gt;; AK; mati 2%; jel 2%; nec 3%; penvort 3%</t>
  </si>
  <si>
    <t>pro&gt;&gt;: vort&gt;: can 8%; nec 3%</t>
  </si>
  <si>
    <t>pro&gt;; vort&gt;; kec 3%; nec 3%; can 1%; fil.tip&gt;</t>
  </si>
  <si>
    <t>flushing 1jt</t>
  </si>
  <si>
    <t>pro&gt;; kec 6%; nec 4%; can 3%</t>
  </si>
  <si>
    <t>9,83</t>
  </si>
  <si>
    <t>pro&gt;; vort&gt;; kec 7%; nec 6%; can 4%; mati 2%</t>
  </si>
  <si>
    <t>pro&gt;&gt;; vort&gt;; kec 7%; nec 5%; can 4%; mati 2%</t>
  </si>
  <si>
    <t>pro&gt;; vort&gt;; kec 7%; nec 3%; can 3%</t>
  </si>
  <si>
    <t>pro&gt;; kec 5%; nec 6%; can 3%</t>
  </si>
  <si>
    <t>14,02</t>
  </si>
  <si>
    <t>pro&gt;; kec 4%; nec 8%; can 6%</t>
  </si>
  <si>
    <t>14,04</t>
  </si>
  <si>
    <t>pro&gt;; kec 2%; nec 9%; can 7%; mati 2%</t>
  </si>
  <si>
    <t>14,27</t>
  </si>
  <si>
    <t>9,10</t>
  </si>
  <si>
    <t>13,02</t>
  </si>
  <si>
    <t>7%; tel 1%</t>
  </si>
  <si>
    <t>pecah 2%; kosong 1%</t>
  </si>
  <si>
    <t>pro&gt;; pecah 27%</t>
  </si>
  <si>
    <t>18y</t>
  </si>
  <si>
    <t>82y</t>
  </si>
  <si>
    <t>pro&gt;; gumpal; vort&gt;; mati 3%</t>
  </si>
  <si>
    <t>Z2 8% Z3 79% M1 13%</t>
  </si>
  <si>
    <t>Z2 4% Z3 73% M1 23%</t>
  </si>
  <si>
    <t>M1 47% M2 53%</t>
  </si>
  <si>
    <t>M1 15% M2 85% M3 2%</t>
  </si>
  <si>
    <t>pro&gt;; PM 2%; mati 2%</t>
  </si>
  <si>
    <t>M1 5% M2 20% M3 75%</t>
  </si>
  <si>
    <t>M1 3% M2 12% M3 71% PL 14%</t>
  </si>
  <si>
    <t>M1 6% M2 9% M3 59% PL 26%</t>
  </si>
  <si>
    <t>M1 5% M2 6% M3 53% PL 36%</t>
  </si>
  <si>
    <t>pro&gt;; art&gt;: vort&gt;; gumpal</t>
  </si>
  <si>
    <t>M1 1% M2 7% M3 28% PL 64%</t>
  </si>
  <si>
    <t>M2 6% M3 20% PL 74%</t>
  </si>
  <si>
    <t>pro&gt;; vort&gt;; art&gt;; PM 1% (jel)</t>
  </si>
  <si>
    <t>M3 8% PL 92%</t>
  </si>
  <si>
    <t>pro&gt;; vort&gt;; AK; mati 2%; nec 2%; can 4%; penvort 3%</t>
  </si>
  <si>
    <t>pro&gt;; vort&gt;; kec 5%; jel 1%; can 6%; nec 1%</t>
  </si>
  <si>
    <t>14,20</t>
  </si>
  <si>
    <t>pro&gt;; amp.gumpal&gt;; kec 6%; nec 3%; can 2%</t>
  </si>
  <si>
    <t>6,23</t>
  </si>
  <si>
    <t>10,89</t>
  </si>
  <si>
    <t>pro&gt;&gt;; kec 5%; nec 6%; can 3%</t>
  </si>
  <si>
    <t>pro&gt;; kec 6%; nec 3%; can 3%</t>
  </si>
  <si>
    <t>6,87</t>
  </si>
  <si>
    <t>11,30</t>
  </si>
  <si>
    <t>pro&gt;; kec 3%; nec 5%;can 5%</t>
  </si>
  <si>
    <t>13,60</t>
  </si>
  <si>
    <t>pro&gt;; kec 7%; nec 9%; can 6%</t>
  </si>
  <si>
    <t>14,83</t>
  </si>
  <si>
    <t>pro&gt;; fil.air&gt;; kec 6%; nec 7%; can 4%</t>
  </si>
  <si>
    <t>8,30</t>
  </si>
  <si>
    <t>12,32</t>
  </si>
  <si>
    <t>pro&gt;; kec 2%; nec 12%; can 8%; mati 2%</t>
  </si>
  <si>
    <t>15y</t>
  </si>
  <si>
    <t>6%; tel 1%; mati 1%</t>
  </si>
  <si>
    <t>pro&gt;; pecah 1%; kosong 2%</t>
  </si>
  <si>
    <t>Z1 94% Z2 94%</t>
  </si>
  <si>
    <t>25y 3g</t>
  </si>
  <si>
    <t>pro&gt;; mati 5%; 0=2%; gumpal</t>
  </si>
  <si>
    <t>Z2 92% Z3 8%</t>
  </si>
  <si>
    <t>TNTCy 6g</t>
  </si>
  <si>
    <t>pro&gt;; gumpal; mati 7%; foul&gt;; 0=6%</t>
  </si>
  <si>
    <t>Z2 5% Z3 86% M1 9%</t>
  </si>
  <si>
    <t>Z2 4% Z3 29% M1 67%</t>
  </si>
  <si>
    <t>Z2 2% Z3 13% M1 82% M2 3%</t>
  </si>
  <si>
    <t>Z2 1% Z3 10% M1 79% M2 10%</t>
  </si>
  <si>
    <t>M1 6% M2 25% M3 69%</t>
  </si>
  <si>
    <t>M1 2% M2 2% M3 92% PL 2%</t>
  </si>
  <si>
    <t>pro&gt;; PM 1%; vort&gt;</t>
  </si>
  <si>
    <t>0.5 ton thalla tank + 1 ton thalla conicle</t>
  </si>
  <si>
    <t>M2 3% M3 15% PL 82%</t>
  </si>
  <si>
    <t>pro&gt;; can 2%; nec 1%</t>
  </si>
  <si>
    <t>M2 2% M3 18% PL 80%</t>
  </si>
  <si>
    <t>M2 2% M3 16% PL 82%</t>
  </si>
  <si>
    <t>pro&gt;; vort&gt;; mati 2%; PM 2%; nec 2%</t>
  </si>
  <si>
    <t>M2 1% M3 15% PL 84%</t>
  </si>
  <si>
    <t>pro&gt;; vort&gt;; art&gt;; can 4%; nec 4%</t>
  </si>
  <si>
    <t>pro&gt;; vort&gt;; mati 4%; can 6%; nec 4%; jel 3%; kec 6%</t>
  </si>
  <si>
    <t>5,37</t>
  </si>
  <si>
    <t>15,07</t>
  </si>
  <si>
    <t>pro&gt;; kec 8%; nec 4%; can 2%; mati 2%</t>
  </si>
  <si>
    <t>12,68</t>
  </si>
  <si>
    <t>pro&gt;; vort&gt;; kec 8%; nec 4%; can 1%</t>
  </si>
  <si>
    <t>pro&gt;; vort&gt;; kec 6%; nec 7%; can 3%</t>
  </si>
  <si>
    <t>12,84</t>
  </si>
  <si>
    <t>pro&gt;; fil.air&gt;; kec 5%; nec 5%; can 1%</t>
  </si>
  <si>
    <t>13,50</t>
  </si>
  <si>
    <t>pro&gt;; kec 7%; nec 6%; can 2%</t>
  </si>
  <si>
    <t>14,47</t>
  </si>
  <si>
    <t>14,53</t>
  </si>
  <si>
    <t>14,77</t>
  </si>
  <si>
    <t>12,29</t>
  </si>
  <si>
    <t>7%; tel 2%</t>
  </si>
  <si>
    <t>11y</t>
  </si>
  <si>
    <t>Z2 58% Z3 42%</t>
  </si>
  <si>
    <t>33y</t>
  </si>
  <si>
    <t>Z2 7% Z3 88% M1 5%</t>
  </si>
  <si>
    <t>Z2 3% Z3 74% M1 23%</t>
  </si>
  <si>
    <t>pro&gt;; mati 3%; gumpal</t>
  </si>
  <si>
    <t>Z2 1% Z3 7% M1 79% M2 13%</t>
  </si>
  <si>
    <t>Z3 7% M1 72% M2 21%</t>
  </si>
  <si>
    <t>pro&gt;; gumpal; mati 3%; foul&gt;</t>
  </si>
  <si>
    <t>Z3 4% M1 25% M2 64% M3 7%</t>
  </si>
  <si>
    <t>Z3 1% M1 16% M2 61% M3 22%</t>
  </si>
  <si>
    <t>pro&gt;; mati 3%; PM 2%</t>
  </si>
  <si>
    <t>M2 3% M3 25% PL 72%</t>
  </si>
  <si>
    <t>pro&gt;; vort&gt;</t>
  </si>
  <si>
    <t>pro&gt;; can 2%; nec 2%</t>
  </si>
  <si>
    <t>pro&gt;; vort&gt;; nec 3%</t>
  </si>
  <si>
    <t>M3 4% PL 94%</t>
  </si>
  <si>
    <t>Flushing (note : SR rendah)</t>
  </si>
  <si>
    <t>pro&gt;; vort&gt;; kec 10%; mati 2%; jel 2%; nec 6%; can 7%</t>
  </si>
  <si>
    <t>pro&gt;; vort&gt;; kec 10: nec 8%; can 10%; jel 2%; mati 2%</t>
  </si>
  <si>
    <t>12,45</t>
  </si>
  <si>
    <t>pro&gt;&gt;; kec 5%; nec 4%; can 1%</t>
  </si>
  <si>
    <t>13,95</t>
  </si>
  <si>
    <t>pro&gt;; vort&gt;; kec 6%; nec 4%; can 2%</t>
  </si>
  <si>
    <t>13,09</t>
  </si>
  <si>
    <t>pro&gt;; kec 4%; nec 6%</t>
  </si>
  <si>
    <t>7,57</t>
  </si>
  <si>
    <t>14,18</t>
  </si>
  <si>
    <t>pro&gt;; kec 6%; nec 6%; can 3%</t>
  </si>
  <si>
    <t>15,15</t>
  </si>
  <si>
    <t>pro&gt;; kec 4%; nec 5%;can 1%</t>
  </si>
  <si>
    <t>7,83</t>
  </si>
  <si>
    <t>pro&gt;; kec 4%; nec 4%; can 3%</t>
  </si>
  <si>
    <t>13,77</t>
  </si>
  <si>
    <t>pro&gt;; abn 1%; kosong 2%</t>
  </si>
  <si>
    <t>16y</t>
  </si>
  <si>
    <t>mati 6%</t>
  </si>
  <si>
    <t>Z2 24% Z3 76%</t>
  </si>
  <si>
    <t>Z2 9% Z3 53% M1 38%</t>
  </si>
  <si>
    <t>Z2 6% Z3 24% M1 70%</t>
  </si>
  <si>
    <t>Z3 20% M1 80%</t>
  </si>
  <si>
    <t>Z3 7% M1 81% M2 12%</t>
  </si>
  <si>
    <t>M1 16% M2 30% M3 54%</t>
  </si>
  <si>
    <t>M1 4% M2 32% M3 64%</t>
  </si>
  <si>
    <t>pro&gt;; vort&gt;; PM 1%</t>
  </si>
  <si>
    <t>M1 5% M2 20% M3 59% PL 16%</t>
  </si>
  <si>
    <t>M1 3% M2 4% M3 64% PL 29%</t>
  </si>
  <si>
    <t>pro&gt;; PM 1%; vort&gt;; mati 2%</t>
  </si>
  <si>
    <t>pro&gt;; vort&gt;; can 3%; nec 2%; mati 2%</t>
  </si>
  <si>
    <t>pro&gt;; can 4% nec 2%</t>
  </si>
  <si>
    <t>pro&gt;; vort&gt;; kec 5%; jel 2%; PM 1%; mati 4%; can 4%; nec 1%</t>
  </si>
  <si>
    <t>5,80</t>
  </si>
  <si>
    <t>11,45</t>
  </si>
  <si>
    <t>13,96</t>
  </si>
  <si>
    <t>pro&gt;; kec 9%; nec 5%; can 1%</t>
  </si>
  <si>
    <t>15,20</t>
  </si>
  <si>
    <t>pro&gt;; kec 7%; nec 4%; can 3%</t>
  </si>
  <si>
    <t>8,33</t>
  </si>
  <si>
    <t>12,74</t>
  </si>
  <si>
    <t>pro&gt;; fil.tip&gt;; kec 5%; nec 6%; can 4%</t>
  </si>
  <si>
    <t>13,08</t>
  </si>
  <si>
    <t>14,38</t>
  </si>
  <si>
    <t>pro&gt;; abn 1%; pecah 2%</t>
  </si>
  <si>
    <t>pro&gt;; abn 2%; pecah 1%</t>
  </si>
  <si>
    <t>N 13% Z1 87%</t>
  </si>
  <si>
    <t>mati 5%</t>
  </si>
  <si>
    <t>Z2 50% Z3 50%</t>
  </si>
  <si>
    <t>pro&gt;; mati 5%</t>
  </si>
  <si>
    <t>Z2 5% Z3 70% M1 25%</t>
  </si>
  <si>
    <t>Z2 2% Z3 25% M1 73%</t>
  </si>
  <si>
    <t>Z3 10% M1 81% M2 19%</t>
  </si>
  <si>
    <t>Z3 10% M1 49% M2 41%</t>
  </si>
  <si>
    <t>M1 15% M2 65% M3 20%</t>
  </si>
  <si>
    <t>M1 9% M2 64% M3 27%</t>
  </si>
  <si>
    <t>pro&gt;; mati 4%; foul&gt;; vort&gt;; penvort 6%; PM 2%</t>
  </si>
  <si>
    <t>M1 2% M2 10% M3 83% PL 15%</t>
  </si>
  <si>
    <t>M1 2% M2 8% M3 69% PL 21%</t>
  </si>
  <si>
    <t>pro&gt;; mati 2%; jel 2%; penvort 3%</t>
  </si>
  <si>
    <t>M1 1% M2 2% M3 30% PL 67%</t>
  </si>
  <si>
    <t>pro&gt;; mati 2%; vort&gt;; PM 1%; can 2%; nec 2%</t>
  </si>
  <si>
    <t>pro&gt;; vort&gt;; mati 2%; can 5%; nec 2%; kec 6%</t>
  </si>
  <si>
    <t>vort&gt;; kec 7%; nec 5%; can 6%</t>
  </si>
  <si>
    <t>5,60</t>
  </si>
  <si>
    <t>10,06</t>
  </si>
  <si>
    <t>pro&gt;; vort&gt;; kec 6%; nec 5%; can 7%; jel 1%</t>
  </si>
  <si>
    <t>12,86</t>
  </si>
  <si>
    <t>pro&gt;; vort&gt;&gt;; kec 4%; nec 3%; can 2%; mati 2%</t>
  </si>
  <si>
    <t>14,57</t>
  </si>
  <si>
    <t>pro&gt;; kec 5%; nec 7%; can 5%</t>
  </si>
  <si>
    <t>pro&gt;; kec 5%; nec 5%; can 4%</t>
  </si>
  <si>
    <t>10,81</t>
  </si>
  <si>
    <t>pro&gt;; vort&gt;; kec 6%; nec 7%; can 2%</t>
  </si>
  <si>
    <t>11,95</t>
  </si>
  <si>
    <t>pro&gt;; kec 4%; nec 5%; can 4%</t>
  </si>
  <si>
    <t>12,30</t>
  </si>
  <si>
    <t>pro&gt;; kec 6%; nec 4%; can 2%; mati 2%</t>
  </si>
  <si>
    <t>9,13</t>
  </si>
  <si>
    <t>12,11</t>
  </si>
  <si>
    <t>pro&gt;; abn 1%; kosong 1%; pecah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</si>
</sst>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2" x14ac:knownFonts="1">
    <font>
      <sz val="10"/>
      <color rgb="FF000000"/>
      <name val="Calibri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name val="Calibri"/>
      <family val="2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theme="1"/>
      <name val="Aptos Narrow"/>
    </font>
    <font>
      <vertAlign val="superscript"/>
      <sz val="11"/>
      <color theme="1"/>
      <name val="Tahoma"/>
      <family val="2"/>
    </font>
    <font>
      <vertAlign val="subscript"/>
      <sz val="10"/>
      <color theme="1"/>
      <name val="Tahoma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FC5E8"/>
        <bgColor rgb="FF9FC5E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15" fontId="1" fillId="2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18" fontId="1" fillId="5" borderId="15" xfId="0" applyNumberFormat="1" applyFont="1" applyFill="1" applyBorder="1" applyAlignment="1">
      <alignment horizontal="center" vertical="center"/>
    </xf>
    <xf numFmtId="20" fontId="1" fillId="5" borderId="15" xfId="0" applyNumberFormat="1" applyFont="1" applyFill="1" applyBorder="1" applyAlignment="1">
      <alignment horizontal="center" vertical="center"/>
    </xf>
    <xf numFmtId="20" fontId="1" fillId="5" borderId="18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1" fillId="0" borderId="20" xfId="0" applyFont="1" applyBorder="1"/>
    <xf numFmtId="9" fontId="1" fillId="0" borderId="10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/>
    <xf numFmtId="0" fontId="6" fillId="0" borderId="22" xfId="0" applyFont="1" applyBorder="1"/>
    <xf numFmtId="0" fontId="7" fillId="0" borderId="22" xfId="0" applyFont="1" applyBorder="1"/>
    <xf numFmtId="3" fontId="1" fillId="0" borderId="22" xfId="0" applyNumberFormat="1" applyFont="1" applyBorder="1" applyAlignment="1">
      <alignment horizontal="center"/>
    </xf>
    <xf numFmtId="9" fontId="1" fillId="0" borderId="22" xfId="0" applyNumberFormat="1" applyFont="1" applyBorder="1" applyAlignment="1">
      <alignment horizontal="left"/>
    </xf>
    <xf numFmtId="0" fontId="1" fillId="0" borderId="22" xfId="0" applyFont="1" applyBorder="1" applyAlignment="1">
      <alignment vertical="center"/>
    </xf>
    <xf numFmtId="0" fontId="1" fillId="0" borderId="17" xfId="0" applyFont="1" applyBorder="1"/>
    <xf numFmtId="0" fontId="1" fillId="0" borderId="19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2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9" fontId="1" fillId="6" borderId="26" xfId="0" applyNumberFormat="1" applyFont="1" applyFill="1" applyBorder="1" applyAlignment="1">
      <alignment horizontal="center"/>
    </xf>
    <xf numFmtId="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2" fontId="1" fillId="0" borderId="17" xfId="0" applyNumberFormat="1" applyFont="1" applyBorder="1" applyAlignment="1">
      <alignment horizontal="center"/>
    </xf>
    <xf numFmtId="9" fontId="1" fillId="0" borderId="17" xfId="0" applyNumberFormat="1" applyFont="1" applyBorder="1" applyAlignment="1">
      <alignment horizontal="center"/>
    </xf>
    <xf numFmtId="9" fontId="1" fillId="0" borderId="15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9" fontId="1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 vertical="center"/>
    </xf>
    <xf numFmtId="3" fontId="1" fillId="6" borderId="15" xfId="0" applyNumberFormat="1" applyFont="1" applyFill="1" applyBorder="1" applyAlignment="1">
      <alignment horizontal="center"/>
    </xf>
    <xf numFmtId="0" fontId="7" fillId="6" borderId="15" xfId="0" applyFont="1" applyFill="1" applyBorder="1"/>
    <xf numFmtId="164" fontId="1" fillId="0" borderId="0" xfId="0" applyNumberFormat="1" applyFont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10" fontId="1" fillId="0" borderId="0" xfId="0" applyNumberFormat="1" applyFont="1"/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0" fillId="0" borderId="0" xfId="0" applyFont="1"/>
    <xf numFmtId="0" fontId="10" fillId="0" borderId="20" xfId="0" applyFont="1" applyBorder="1"/>
    <xf numFmtId="0" fontId="1" fillId="0" borderId="17" xfId="0" applyFont="1" applyBorder="1" applyAlignment="1">
      <alignment horizontal="center" vertical="center"/>
    </xf>
    <xf numFmtId="0" fontId="11" fillId="0" borderId="0" xfId="0" applyFont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9" fontId="1" fillId="0" borderId="10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0" fontId="1" fillId="0" borderId="19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3" fontId="1" fillId="0" borderId="29" xfId="0" applyNumberFormat="1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 vertical="center"/>
    </xf>
    <xf numFmtId="0" fontId="3" fillId="0" borderId="17" xfId="0" applyFont="1" applyBorder="1"/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4" fillId="5" borderId="23" xfId="0" applyFont="1" applyFill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4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customschemas.google.com/relationships/workbookmetadata" Target="metadata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138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19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15">
        <v>1</v>
      </c>
      <c r="F6" s="3">
        <v>8</v>
      </c>
      <c r="G6" s="2">
        <v>46173</v>
      </c>
      <c r="H6" s="16">
        <v>9303</v>
      </c>
      <c r="I6" s="3" t="s">
        <v>28</v>
      </c>
      <c r="J6" s="5" t="s">
        <v>29</v>
      </c>
      <c r="K6" s="5" t="s">
        <v>30</v>
      </c>
      <c r="L6" s="17">
        <v>0</v>
      </c>
      <c r="M6" s="17"/>
      <c r="N6" s="18">
        <v>9303</v>
      </c>
      <c r="O6" s="17" t="s">
        <v>31</v>
      </c>
      <c r="P6" s="19">
        <f t="shared" ref="P6:P13" si="0">N6/H6</f>
        <v>1</v>
      </c>
      <c r="Q6" s="19">
        <v>0.02</v>
      </c>
      <c r="R6" s="20"/>
      <c r="S6" s="17" t="s">
        <v>32</v>
      </c>
      <c r="T6" s="17">
        <v>1</v>
      </c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15">
        <v>2</v>
      </c>
      <c r="F7" s="3">
        <v>7</v>
      </c>
      <c r="G7" s="2">
        <v>46172</v>
      </c>
      <c r="H7" s="16">
        <v>8595</v>
      </c>
      <c r="I7" s="3" t="s">
        <v>37</v>
      </c>
      <c r="J7" s="5" t="s">
        <v>38</v>
      </c>
      <c r="K7" s="5" t="s">
        <v>38</v>
      </c>
      <c r="L7" s="3"/>
      <c r="M7" s="17" t="s">
        <v>39</v>
      </c>
      <c r="N7" s="18">
        <v>8595</v>
      </c>
      <c r="O7" s="17" t="s">
        <v>31</v>
      </c>
      <c r="P7" s="19">
        <f t="shared" si="0"/>
        <v>1</v>
      </c>
      <c r="Q7" s="19">
        <v>0.02</v>
      </c>
      <c r="R7" s="20" t="s">
        <v>40</v>
      </c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123</v>
      </c>
      <c r="B8" s="16">
        <v>155000</v>
      </c>
      <c r="C8" s="24">
        <v>0.77</v>
      </c>
      <c r="D8" s="3"/>
      <c r="E8" s="15">
        <v>3</v>
      </c>
      <c r="F8" s="3">
        <v>6</v>
      </c>
      <c r="G8" s="2">
        <v>46171</v>
      </c>
      <c r="H8" s="16">
        <v>8058</v>
      </c>
      <c r="I8" s="3" t="s">
        <v>42</v>
      </c>
      <c r="J8" s="5" t="s">
        <v>43</v>
      </c>
      <c r="K8" s="5" t="s">
        <v>43</v>
      </c>
      <c r="L8" s="3"/>
      <c r="M8" s="3" t="s">
        <v>44</v>
      </c>
      <c r="N8" s="18">
        <v>6400</v>
      </c>
      <c r="O8" s="17" t="s">
        <v>31</v>
      </c>
      <c r="P8" s="19">
        <f t="shared" si="0"/>
        <v>0.79424174733184416</v>
      </c>
      <c r="Q8" s="19">
        <v>0.04</v>
      </c>
      <c r="R8" s="20" t="s">
        <v>45</v>
      </c>
      <c r="S8" s="17" t="s">
        <v>46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15">
        <v>6</v>
      </c>
      <c r="F9" s="3">
        <v>5</v>
      </c>
      <c r="G9" s="2">
        <v>46168</v>
      </c>
      <c r="H9" s="16">
        <v>7241</v>
      </c>
      <c r="I9" s="3" t="s">
        <v>47</v>
      </c>
      <c r="J9" s="5" t="s">
        <v>48</v>
      </c>
      <c r="K9" s="5" t="s">
        <v>49</v>
      </c>
      <c r="L9" s="3"/>
      <c r="M9" s="3"/>
      <c r="N9" s="18">
        <v>5600</v>
      </c>
      <c r="O9" s="17" t="s">
        <v>31</v>
      </c>
      <c r="P9" s="19">
        <f t="shared" si="0"/>
        <v>0.77337384339179671</v>
      </c>
      <c r="Q9" s="19">
        <v>0.03</v>
      </c>
      <c r="R9" s="20" t="s">
        <v>50</v>
      </c>
      <c r="S9" s="17" t="s">
        <v>51</v>
      </c>
      <c r="T9" s="17"/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15">
        <v>7</v>
      </c>
      <c r="F10" s="3">
        <v>4</v>
      </c>
      <c r="G10" s="2">
        <v>46167</v>
      </c>
      <c r="H10" s="16">
        <v>7747</v>
      </c>
      <c r="I10" s="3" t="s">
        <v>54</v>
      </c>
      <c r="J10" s="5" t="s">
        <v>55</v>
      </c>
      <c r="K10" s="5" t="s">
        <v>56</v>
      </c>
      <c r="L10" s="3"/>
      <c r="M10" s="25" t="s">
        <v>57</v>
      </c>
      <c r="N10" s="18">
        <v>6500</v>
      </c>
      <c r="O10" s="17" t="s">
        <v>31</v>
      </c>
      <c r="P10" s="19">
        <f t="shared" si="0"/>
        <v>0.83903446495417577</v>
      </c>
      <c r="Q10" s="19">
        <v>0.02</v>
      </c>
      <c r="R10" s="20" t="s">
        <v>58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1.07</v>
      </c>
      <c r="B11" s="16">
        <v>128000</v>
      </c>
      <c r="C11" s="8"/>
      <c r="D11" s="3"/>
      <c r="E11" s="15">
        <v>8</v>
      </c>
      <c r="F11" s="3">
        <v>3</v>
      </c>
      <c r="G11" s="2">
        <v>46166</v>
      </c>
      <c r="H11" s="16">
        <v>8493</v>
      </c>
      <c r="I11" s="3" t="s">
        <v>59</v>
      </c>
      <c r="J11" s="5" t="s">
        <v>60</v>
      </c>
      <c r="K11" s="5" t="s">
        <v>61</v>
      </c>
      <c r="L11" s="3"/>
      <c r="M11" s="25" t="s">
        <v>57</v>
      </c>
      <c r="N11" s="18">
        <v>7000</v>
      </c>
      <c r="O11" s="17" t="s">
        <v>31</v>
      </c>
      <c r="P11" s="19">
        <f t="shared" si="0"/>
        <v>0.82420817143529967</v>
      </c>
      <c r="Q11" s="19">
        <v>0.03</v>
      </c>
      <c r="R11" s="20" t="s">
        <v>62</v>
      </c>
      <c r="S11" s="17"/>
      <c r="T11" s="17"/>
      <c r="U11" s="17">
        <v>1</v>
      </c>
      <c r="V11" s="17">
        <v>1</v>
      </c>
      <c r="W11" s="17"/>
      <c r="X11" s="17" t="s">
        <v>63</v>
      </c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15">
        <v>9</v>
      </c>
      <c r="F12" s="3">
        <v>2</v>
      </c>
      <c r="G12" s="2">
        <v>46165</v>
      </c>
      <c r="H12" s="16">
        <v>8040</v>
      </c>
      <c r="I12" s="3" t="s">
        <v>64</v>
      </c>
      <c r="J12" s="5" t="s">
        <v>65</v>
      </c>
      <c r="K12" s="5" t="s">
        <v>66</v>
      </c>
      <c r="L12" s="3"/>
      <c r="M12" s="25" t="s">
        <v>57</v>
      </c>
      <c r="N12" s="18">
        <v>5500</v>
      </c>
      <c r="O12" s="17" t="s">
        <v>31</v>
      </c>
      <c r="P12" s="19">
        <f t="shared" si="0"/>
        <v>0.6840796019900498</v>
      </c>
      <c r="Q12" s="19"/>
      <c r="R12" s="20" t="s">
        <v>67</v>
      </c>
      <c r="S12" s="17"/>
      <c r="T12" s="17"/>
      <c r="U12" s="17">
        <v>1</v>
      </c>
      <c r="V12" s="17">
        <v>1</v>
      </c>
      <c r="W12" s="17"/>
      <c r="X12" s="17" t="s">
        <v>63</v>
      </c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15798750</v>
      </c>
      <c r="D13" s="3"/>
      <c r="E13" s="15">
        <v>10</v>
      </c>
      <c r="F13" s="3">
        <v>1</v>
      </c>
      <c r="G13" s="2">
        <v>46164</v>
      </c>
      <c r="H13" s="16">
        <v>9468</v>
      </c>
      <c r="I13" s="3" t="s">
        <v>69</v>
      </c>
      <c r="J13" s="5" t="s">
        <v>70</v>
      </c>
      <c r="K13" s="5" t="s">
        <v>71</v>
      </c>
      <c r="L13" s="3"/>
      <c r="M13" s="25" t="s">
        <v>57</v>
      </c>
      <c r="N13" s="18">
        <v>8000</v>
      </c>
      <c r="O13" s="17" t="s">
        <v>31</v>
      </c>
      <c r="P13" s="19">
        <f t="shared" si="0"/>
        <v>0.84495141529362061</v>
      </c>
      <c r="Q13" s="19">
        <v>0.01</v>
      </c>
      <c r="R13" s="20" t="s">
        <v>72</v>
      </c>
      <c r="S13" s="17"/>
      <c r="T13" s="17"/>
      <c r="U13" s="17">
        <v>1</v>
      </c>
      <c r="V13" s="17">
        <v>1</v>
      </c>
      <c r="W13" s="17"/>
      <c r="X13" s="17"/>
      <c r="Y13" s="17" t="s">
        <v>73</v>
      </c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16282500</v>
      </c>
      <c r="D14" s="3"/>
      <c r="E14" s="28"/>
      <c r="F14" s="29"/>
      <c r="G14" s="30"/>
      <c r="H14" s="31"/>
      <c r="I14" s="32"/>
      <c r="J14" s="33"/>
      <c r="K14" s="34"/>
      <c r="L14" s="35"/>
      <c r="M14" s="33"/>
      <c r="N14" s="36"/>
      <c r="O14" s="32"/>
      <c r="P14" s="32"/>
      <c r="Q14" s="37"/>
      <c r="R14" s="38"/>
      <c r="S14" s="32"/>
      <c r="T14" s="32"/>
      <c r="U14" s="32"/>
      <c r="V14" s="32"/>
      <c r="W14" s="32"/>
      <c r="X14" s="32"/>
      <c r="Y14" s="32"/>
      <c r="Z14" s="32"/>
      <c r="AA14" s="32"/>
      <c r="AB14" s="39"/>
      <c r="AC14" s="39"/>
      <c r="AD14" s="4"/>
      <c r="AE14" s="4"/>
      <c r="AF14" s="4"/>
      <c r="AG14" s="4"/>
    </row>
    <row r="15" spans="1:33" ht="19.5" customHeight="1" x14ac:dyDescent="0.2">
      <c r="A15" s="40"/>
      <c r="B15" s="3" t="s">
        <v>75</v>
      </c>
      <c r="C15" s="8"/>
      <c r="D15" s="3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2"/>
      <c r="S15" s="42"/>
      <c r="T15" s="42"/>
      <c r="U15" s="42"/>
      <c r="V15" s="42"/>
      <c r="W15" s="42"/>
      <c r="X15" s="42"/>
      <c r="Y15" s="42"/>
      <c r="Z15" s="4"/>
      <c r="AA15" s="4"/>
      <c r="AB15" s="4"/>
      <c r="AC15" s="4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 t="s">
        <v>78</v>
      </c>
      <c r="D16" s="3"/>
      <c r="E16" s="108" t="s">
        <v>79</v>
      </c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10"/>
      <c r="S16" s="42"/>
      <c r="T16" s="42"/>
      <c r="U16" s="42"/>
      <c r="V16" s="3"/>
      <c r="W16" s="5"/>
      <c r="X16" s="5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43" t="s">
        <v>4</v>
      </c>
      <c r="F17" s="43" t="s">
        <v>20</v>
      </c>
      <c r="G17" s="43" t="s">
        <v>21</v>
      </c>
      <c r="H17" s="43" t="s">
        <v>8</v>
      </c>
      <c r="I17" s="43" t="s">
        <v>81</v>
      </c>
      <c r="J17" s="43" t="s">
        <v>22</v>
      </c>
      <c r="K17" s="43" t="s">
        <v>10</v>
      </c>
      <c r="L17" s="43" t="s">
        <v>82</v>
      </c>
      <c r="M17" s="43" t="s">
        <v>12</v>
      </c>
      <c r="N17" s="43" t="s">
        <v>83</v>
      </c>
      <c r="O17" s="43" t="s">
        <v>84</v>
      </c>
      <c r="P17" s="43" t="s">
        <v>85</v>
      </c>
      <c r="Q17" s="43" t="s">
        <v>86</v>
      </c>
      <c r="R17" s="43" t="s">
        <v>87</v>
      </c>
      <c r="S17" s="42"/>
      <c r="T17" s="42"/>
      <c r="U17" s="42"/>
      <c r="V17" s="3"/>
      <c r="W17" s="5"/>
      <c r="X17" s="5"/>
      <c r="Y17" s="4"/>
      <c r="Z17" s="4"/>
      <c r="AA17" s="4"/>
      <c r="AB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4">
        <v>13</v>
      </c>
      <c r="F18" s="44">
        <v>15</v>
      </c>
      <c r="G18" s="45">
        <v>46171</v>
      </c>
      <c r="H18" s="46">
        <v>4463</v>
      </c>
      <c r="I18" s="46">
        <v>4017</v>
      </c>
      <c r="J18" s="44" t="s">
        <v>88</v>
      </c>
      <c r="K18" s="47">
        <v>0.56000000000000005</v>
      </c>
      <c r="L18" s="48"/>
      <c r="M18" s="49" t="s">
        <v>89</v>
      </c>
      <c r="N18" s="50" t="s">
        <v>90</v>
      </c>
      <c r="O18" s="50" t="s">
        <v>91</v>
      </c>
      <c r="P18" s="46"/>
      <c r="Q18" s="51"/>
      <c r="R18" s="46"/>
      <c r="S18" s="16"/>
      <c r="T18" s="5"/>
      <c r="U18" s="4"/>
      <c r="V18" s="4"/>
      <c r="W18" s="4"/>
      <c r="X18" s="4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14"/>
      <c r="E19" s="44">
        <v>14</v>
      </c>
      <c r="F19" s="44">
        <v>14</v>
      </c>
      <c r="G19" s="45">
        <v>46170</v>
      </c>
      <c r="H19" s="46">
        <v>3686</v>
      </c>
      <c r="I19" s="46">
        <v>3317</v>
      </c>
      <c r="J19" s="44" t="s">
        <v>92</v>
      </c>
      <c r="K19" s="47">
        <v>0.49</v>
      </c>
      <c r="L19" s="48"/>
      <c r="M19" s="49" t="s">
        <v>93</v>
      </c>
      <c r="N19" s="50" t="s">
        <v>94</v>
      </c>
      <c r="O19" s="50" t="s">
        <v>95</v>
      </c>
      <c r="P19" s="46"/>
      <c r="Q19" s="51"/>
      <c r="R19" s="46"/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15</v>
      </c>
      <c r="F20" s="44">
        <v>12</v>
      </c>
      <c r="G20" s="45">
        <v>46169</v>
      </c>
      <c r="H20" s="46">
        <v>3183</v>
      </c>
      <c r="I20" s="46">
        <v>2864</v>
      </c>
      <c r="J20" s="44" t="s">
        <v>96</v>
      </c>
      <c r="K20" s="47">
        <v>0.65</v>
      </c>
      <c r="L20" s="48"/>
      <c r="M20" s="49" t="s">
        <v>97</v>
      </c>
      <c r="N20" s="50" t="s">
        <v>98</v>
      </c>
      <c r="O20" s="50" t="s">
        <v>99</v>
      </c>
      <c r="P20" s="46"/>
      <c r="Q20" s="51"/>
      <c r="R20" s="46" t="s">
        <v>100</v>
      </c>
      <c r="S20" s="16" t="s">
        <v>101</v>
      </c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16</v>
      </c>
      <c r="F21" s="44">
        <v>11</v>
      </c>
      <c r="G21" s="45">
        <v>46168</v>
      </c>
      <c r="H21" s="46">
        <v>5091</v>
      </c>
      <c r="I21" s="46">
        <v>4582</v>
      </c>
      <c r="J21" s="44" t="s">
        <v>102</v>
      </c>
      <c r="K21" s="47">
        <v>0.68</v>
      </c>
      <c r="L21" s="48">
        <v>0.01</v>
      </c>
      <c r="M21" s="49" t="s">
        <v>103</v>
      </c>
      <c r="N21" s="50" t="s">
        <v>104</v>
      </c>
      <c r="O21" s="50" t="s">
        <v>105</v>
      </c>
      <c r="P21" s="46">
        <v>2950</v>
      </c>
      <c r="Q21" s="52">
        <f t="shared" ref="Q21:Q22" si="1">P21/H21</f>
        <v>0.57945393832253</v>
      </c>
      <c r="R21" s="46" t="s">
        <v>106</v>
      </c>
      <c r="S21" s="3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17</v>
      </c>
      <c r="F22" s="44">
        <v>10</v>
      </c>
      <c r="G22" s="45">
        <v>46167</v>
      </c>
      <c r="H22" s="46">
        <v>5630</v>
      </c>
      <c r="I22" s="46">
        <v>5067</v>
      </c>
      <c r="J22" s="44" t="s">
        <v>107</v>
      </c>
      <c r="K22" s="47">
        <v>0.73</v>
      </c>
      <c r="L22" s="48"/>
      <c r="M22" s="49"/>
      <c r="N22" s="50" t="s">
        <v>108</v>
      </c>
      <c r="O22" s="50" t="s">
        <v>109</v>
      </c>
      <c r="P22" s="46">
        <v>4783</v>
      </c>
      <c r="Q22" s="52">
        <f t="shared" si="1"/>
        <v>0.84955595026642983</v>
      </c>
      <c r="R22" s="46"/>
      <c r="S22" s="3"/>
      <c r="T22" s="3"/>
      <c r="U22" s="5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M23" s="3"/>
      <c r="N23" s="4"/>
      <c r="O23" s="4"/>
      <c r="P23" s="4"/>
      <c r="Q23" s="4"/>
      <c r="R23" s="4"/>
      <c r="S23" s="3"/>
      <c r="T23" s="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M24" s="4"/>
      <c r="N24" s="4"/>
      <c r="O24" s="4"/>
      <c r="P24" s="4"/>
      <c r="Q24" s="4"/>
      <c r="R24" s="4"/>
      <c r="S24" s="16"/>
      <c r="T24" s="53"/>
      <c r="U24" s="5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55" t="s">
        <v>110</v>
      </c>
      <c r="I25" s="56" t="s">
        <v>76</v>
      </c>
      <c r="J25" s="105" t="s">
        <v>111</v>
      </c>
      <c r="K25" s="106"/>
      <c r="L25" s="107"/>
      <c r="M25" s="4"/>
      <c r="N25" s="4"/>
      <c r="O25" s="4"/>
      <c r="P25" s="4"/>
      <c r="Q25" s="4"/>
      <c r="R25" s="4"/>
      <c r="S25" s="16"/>
      <c r="T25" s="54"/>
      <c r="U25" s="57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58" t="s">
        <v>112</v>
      </c>
      <c r="G26" s="3" t="s">
        <v>113</v>
      </c>
      <c r="H26" s="4"/>
      <c r="I26" s="3"/>
      <c r="J26" s="59" t="s">
        <v>114</v>
      </c>
      <c r="K26" s="59" t="s">
        <v>115</v>
      </c>
      <c r="L26" s="59" t="s">
        <v>116</v>
      </c>
      <c r="M26" s="4"/>
      <c r="N26" s="4"/>
      <c r="O26" s="4"/>
      <c r="P26" s="4"/>
      <c r="Q26" s="4"/>
      <c r="R26" s="4"/>
      <c r="S26" s="16"/>
      <c r="T26" s="54"/>
      <c r="U26" s="57"/>
      <c r="V26" s="4"/>
      <c r="W26" s="4"/>
      <c r="X26" s="4"/>
      <c r="Y26" s="4"/>
      <c r="Z26" s="4"/>
      <c r="AA26" s="4"/>
      <c r="AB26" s="4"/>
      <c r="AE26" s="4"/>
      <c r="AF26" s="4"/>
    </row>
    <row r="27" spans="1:33" ht="19.5" customHeight="1" x14ac:dyDescent="0.2">
      <c r="A27" s="60"/>
      <c r="B27" s="3" t="s">
        <v>74</v>
      </c>
      <c r="C27" s="8"/>
      <c r="D27" s="14"/>
      <c r="E27" s="3"/>
      <c r="F27" s="55"/>
      <c r="G27" s="3"/>
      <c r="H27" s="3"/>
      <c r="I27" s="3"/>
      <c r="J27" s="3" t="s">
        <v>117</v>
      </c>
      <c r="K27" s="53"/>
      <c r="L27" s="53">
        <v>0.09</v>
      </c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3" t="s">
        <v>118</v>
      </c>
      <c r="F28" s="3"/>
      <c r="H28" s="3"/>
      <c r="I28" s="3"/>
      <c r="J28" s="3"/>
      <c r="K28" s="4"/>
      <c r="L28" s="53"/>
      <c r="M28" s="4"/>
      <c r="N28" s="4"/>
      <c r="O28" s="4"/>
      <c r="P28" s="4"/>
      <c r="Q28" s="4"/>
      <c r="R28" s="4"/>
      <c r="AD28" s="4"/>
      <c r="AE28" s="4"/>
    </row>
    <row r="29" spans="1:33" ht="19.5" customHeight="1" x14ac:dyDescent="0.2">
      <c r="A29" s="15"/>
      <c r="B29" s="3" t="s">
        <v>77</v>
      </c>
      <c r="C29" s="27"/>
      <c r="D29" s="14"/>
      <c r="E29" s="17" t="s">
        <v>119</v>
      </c>
      <c r="F29" s="3">
        <v>0</v>
      </c>
      <c r="G29" s="3"/>
      <c r="H29" s="3"/>
      <c r="I29" s="3"/>
      <c r="J29" s="3" t="s">
        <v>120</v>
      </c>
      <c r="K29" s="53"/>
      <c r="L29" s="53">
        <v>0.04</v>
      </c>
      <c r="M29" s="4"/>
      <c r="N29" s="4"/>
      <c r="O29" s="4"/>
      <c r="P29" s="4"/>
      <c r="Q29" s="4"/>
      <c r="R29" s="4"/>
      <c r="S29" s="3"/>
      <c r="T29" s="5"/>
      <c r="U29" s="4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17" t="s">
        <v>122</v>
      </c>
      <c r="F30" s="3">
        <v>0</v>
      </c>
      <c r="G30" s="3"/>
      <c r="H30" s="5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W30" s="4"/>
      <c r="X30" s="4"/>
    </row>
    <row r="31" spans="1:33" ht="19.5" customHeight="1" x14ac:dyDescent="0.2">
      <c r="A31" s="6" t="s">
        <v>3</v>
      </c>
      <c r="B31" s="3"/>
      <c r="C31" s="8"/>
      <c r="D31" s="14"/>
      <c r="E31" s="5"/>
      <c r="F31" s="3"/>
      <c r="G31" s="3"/>
      <c r="H31" s="5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AD31" s="4"/>
      <c r="AE31" s="4"/>
    </row>
    <row r="32" spans="1:33" ht="19.5" customHeight="1" x14ac:dyDescent="0.2">
      <c r="A32" s="14"/>
      <c r="B32" s="3"/>
      <c r="C32" s="8"/>
      <c r="D32" s="14"/>
      <c r="E32" s="55" t="s">
        <v>123</v>
      </c>
      <c r="F32" s="3"/>
      <c r="G32" s="3"/>
      <c r="H32" s="53"/>
      <c r="I32" s="3"/>
      <c r="J32" s="3"/>
      <c r="K32" s="17"/>
      <c r="L32" s="4"/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61" t="s">
        <v>124</v>
      </c>
      <c r="F33" s="3">
        <v>0</v>
      </c>
      <c r="G33" s="3"/>
      <c r="H33" s="3"/>
      <c r="I33" s="3"/>
      <c r="J33" s="62"/>
      <c r="K33" s="17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61" t="s">
        <v>125</v>
      </c>
      <c r="F34" s="3">
        <v>0</v>
      </c>
      <c r="G34" s="3"/>
      <c r="H34" s="3"/>
      <c r="I34" s="3"/>
      <c r="J34" s="63"/>
      <c r="K34" s="17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/>
      <c r="F35" s="3"/>
      <c r="G35" s="3"/>
      <c r="H35" s="3"/>
      <c r="I35" s="3"/>
      <c r="J35" s="64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55" t="s">
        <v>126</v>
      </c>
      <c r="F36" s="55"/>
      <c r="G36" s="3"/>
      <c r="H36" s="3"/>
      <c r="J36" s="4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5" t="s">
        <v>20</v>
      </c>
      <c r="F37" s="65" t="s">
        <v>127</v>
      </c>
      <c r="G37" s="65" t="s">
        <v>128</v>
      </c>
      <c r="H37" s="65" t="s">
        <v>129</v>
      </c>
      <c r="I37" s="65" t="s">
        <v>87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66" t="s">
        <v>130</v>
      </c>
      <c r="F38" s="67">
        <v>1440</v>
      </c>
      <c r="G38" s="68">
        <v>0</v>
      </c>
      <c r="H38" s="69" t="s">
        <v>131</v>
      </c>
      <c r="I38" s="68" t="s">
        <v>40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70" t="s">
        <v>132</v>
      </c>
      <c r="F39" s="67">
        <v>305</v>
      </c>
      <c r="G39" s="68">
        <v>0</v>
      </c>
      <c r="H39" s="69" t="s">
        <v>131</v>
      </c>
      <c r="I39" s="68" t="s">
        <v>133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3"/>
      <c r="U39" s="4"/>
      <c r="V39" s="4"/>
      <c r="W39" s="4"/>
      <c r="X39" s="4"/>
      <c r="Y39" s="4"/>
      <c r="Z39" s="4"/>
      <c r="AA39" s="4"/>
      <c r="AB39" s="4"/>
      <c r="AC39" s="4"/>
    </row>
    <row r="40" spans="1:31" ht="19.5" customHeight="1" x14ac:dyDescent="0.2">
      <c r="A40" s="60"/>
      <c r="B40" s="3" t="s">
        <v>74</v>
      </c>
      <c r="C40" s="8"/>
      <c r="D40" s="14"/>
      <c r="E40" s="70" t="s">
        <v>134</v>
      </c>
      <c r="F40" s="67">
        <v>370</v>
      </c>
      <c r="G40" s="68">
        <v>0</v>
      </c>
      <c r="H40" s="69" t="s">
        <v>131</v>
      </c>
      <c r="I40" s="68" t="s">
        <v>135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3"/>
      <c r="V40" s="3"/>
      <c r="W40" s="5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66" t="s">
        <v>136</v>
      </c>
      <c r="F41" s="71">
        <v>320</v>
      </c>
      <c r="G41" s="72"/>
      <c r="H41" s="69" t="s">
        <v>131</v>
      </c>
      <c r="I41" s="68"/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  <c r="AD41" s="4"/>
      <c r="AE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137</v>
      </c>
      <c r="F42" s="71">
        <v>155</v>
      </c>
      <c r="G42" s="72"/>
      <c r="H42" s="69" t="s">
        <v>131</v>
      </c>
      <c r="I42" s="68"/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3"/>
      <c r="E43" s="70" t="s">
        <v>139</v>
      </c>
      <c r="F43" s="71">
        <v>181</v>
      </c>
      <c r="G43" s="72"/>
      <c r="H43" s="69" t="s">
        <v>131</v>
      </c>
      <c r="I43" s="68" t="s">
        <v>40</v>
      </c>
      <c r="J43" s="4"/>
      <c r="K43" s="4"/>
      <c r="L43" s="4"/>
      <c r="M43" s="73"/>
      <c r="N43" s="18"/>
      <c r="O43" s="18"/>
      <c r="P43" s="17"/>
      <c r="Q43" s="74"/>
      <c r="R43" s="53"/>
      <c r="S43" s="4"/>
      <c r="T43" s="4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14"/>
      <c r="E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3"/>
      <c r="X44" s="5"/>
      <c r="Y44" s="5"/>
      <c r="Z44" s="5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/>
      <c r="F45" s="4" t="s">
        <v>140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3"/>
      <c r="V45" s="3"/>
      <c r="W45" s="3"/>
      <c r="X45" s="3"/>
      <c r="Y45" s="5"/>
      <c r="Z45" s="5"/>
      <c r="AA45" s="4"/>
      <c r="AB45" s="4"/>
      <c r="AC45" s="4"/>
      <c r="AD45" s="4"/>
      <c r="AE45" s="4"/>
    </row>
    <row r="46" spans="1:31" ht="18.75" customHeight="1" x14ac:dyDescent="0.2">
      <c r="A46" s="14" t="s">
        <v>34</v>
      </c>
      <c r="B46" s="3" t="s">
        <v>35</v>
      </c>
      <c r="C46" s="8" t="s">
        <v>36</v>
      </c>
      <c r="D46" s="14"/>
      <c r="E46" s="70"/>
      <c r="F46" s="4" t="s">
        <v>141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5"/>
      <c r="F47" s="4" t="s">
        <v>142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6"/>
      <c r="F48" s="4" t="s">
        <v>143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9.5" customHeight="1" x14ac:dyDescent="0.2">
      <c r="A49" s="17" t="s">
        <v>52</v>
      </c>
      <c r="B49" s="17" t="s">
        <v>53</v>
      </c>
      <c r="C49" s="8"/>
      <c r="D49" s="1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E49" s="4"/>
    </row>
    <row r="50" spans="1:33" ht="19.5" customHeight="1" x14ac:dyDescent="0.2">
      <c r="A50" s="3"/>
      <c r="B50" s="16"/>
      <c r="C50" s="8"/>
      <c r="D50" s="1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M51" s="4"/>
      <c r="N51" s="4"/>
      <c r="O51" s="4"/>
      <c r="P51" s="4"/>
      <c r="Q51" s="4"/>
      <c r="R51" s="4"/>
      <c r="S51" s="4"/>
      <c r="T51" s="5"/>
      <c r="U51" s="3"/>
      <c r="V51" s="3"/>
      <c r="W51" s="3"/>
      <c r="X51" s="3"/>
      <c r="Y51" s="5"/>
      <c r="Z51" s="5"/>
      <c r="AA51" s="4"/>
      <c r="AB51" s="4"/>
      <c r="AC51" s="4"/>
      <c r="AD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77" t="s">
        <v>144</v>
      </c>
      <c r="U52" s="77"/>
      <c r="V52" s="18"/>
      <c r="W52" s="19"/>
      <c r="X52" s="18"/>
      <c r="Y52" s="3"/>
      <c r="Z52" s="5"/>
      <c r="AA52" s="4"/>
      <c r="AB52" s="4"/>
      <c r="AC52" s="4"/>
      <c r="AD52" s="4"/>
      <c r="AE52" s="4"/>
    </row>
    <row r="53" spans="1:33" ht="19.5" customHeight="1" x14ac:dyDescent="0.2">
      <c r="A53" s="60"/>
      <c r="B53" s="3" t="s">
        <v>74</v>
      </c>
      <c r="C53" s="8"/>
      <c r="D53" s="3"/>
      <c r="M53" s="4"/>
      <c r="N53" s="4"/>
      <c r="O53" s="4"/>
      <c r="P53" s="4"/>
      <c r="Q53" s="4"/>
      <c r="R53" s="4"/>
      <c r="S53" s="4"/>
      <c r="T53" s="4"/>
      <c r="U53" s="78"/>
      <c r="V53" s="4"/>
      <c r="W53" s="3"/>
      <c r="X53" s="3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  <c r="AF57" s="4"/>
      <c r="AG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5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5"/>
      <c r="W65" s="5"/>
      <c r="X65" s="3"/>
      <c r="Y65" s="3"/>
      <c r="Z65" s="4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E69" s="4"/>
      <c r="F69" s="4"/>
      <c r="G69" s="4"/>
      <c r="H69" s="4"/>
      <c r="I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E70" s="4"/>
      <c r="F70" s="4"/>
      <c r="G70" s="4"/>
      <c r="H70" s="4"/>
      <c r="I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8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9.5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N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5.75" customHeight="1" x14ac:dyDescent="0.2">
      <c r="A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T4:V4"/>
    <mergeCell ref="X4:X5"/>
    <mergeCell ref="Y4:Y5"/>
    <mergeCell ref="Z4:AA4"/>
    <mergeCell ref="A3:C3"/>
    <mergeCell ref="E3:Q3"/>
    <mergeCell ref="R3:AC3"/>
    <mergeCell ref="E4:E5"/>
    <mergeCell ref="F4:I4"/>
    <mergeCell ref="J4:K4"/>
    <mergeCell ref="L4:M4"/>
    <mergeCell ref="AB4:AC4"/>
    <mergeCell ref="A17:C17"/>
    <mergeCell ref="A30:C30"/>
    <mergeCell ref="A43:C43"/>
    <mergeCell ref="R4:R5"/>
    <mergeCell ref="S4:S5"/>
    <mergeCell ref="N4:N5"/>
    <mergeCell ref="O4:O5"/>
    <mergeCell ref="J25:L25"/>
    <mergeCell ref="P4:P5"/>
    <mergeCell ref="Q4:Q5"/>
    <mergeCell ref="E16:R16"/>
  </mergeCells>
  <printOptions horizontalCentered="1"/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136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19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15">
        <v>1</v>
      </c>
      <c r="F6" s="3">
        <v>9</v>
      </c>
      <c r="G6" s="2">
        <v>46174</v>
      </c>
      <c r="H6" s="16">
        <v>7541</v>
      </c>
      <c r="I6" s="3" t="s">
        <v>28</v>
      </c>
      <c r="J6" s="5" t="s">
        <v>29</v>
      </c>
      <c r="K6" s="5" t="s">
        <v>145</v>
      </c>
      <c r="L6" s="17">
        <v>0</v>
      </c>
      <c r="M6" s="17"/>
      <c r="N6" s="18">
        <v>7541</v>
      </c>
      <c r="O6" s="17" t="s">
        <v>31</v>
      </c>
      <c r="P6" s="19">
        <f t="shared" ref="P6:P14" si="0">N6/H6</f>
        <v>1</v>
      </c>
      <c r="Q6" s="19">
        <v>0.03</v>
      </c>
      <c r="R6" s="20"/>
      <c r="S6" s="17" t="s">
        <v>146</v>
      </c>
      <c r="T6" s="17">
        <v>1</v>
      </c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15">
        <v>2</v>
      </c>
      <c r="F7" s="3">
        <v>8</v>
      </c>
      <c r="G7" s="2">
        <v>46173</v>
      </c>
      <c r="H7" s="16">
        <v>9303</v>
      </c>
      <c r="I7" s="3" t="s">
        <v>37</v>
      </c>
      <c r="J7" s="5" t="s">
        <v>38</v>
      </c>
      <c r="K7" s="5" t="s">
        <v>38</v>
      </c>
      <c r="L7" s="3"/>
      <c r="M7" s="17" t="s">
        <v>147</v>
      </c>
      <c r="N7" s="18">
        <v>9303</v>
      </c>
      <c r="O7" s="17" t="s">
        <v>31</v>
      </c>
      <c r="P7" s="19">
        <f t="shared" si="0"/>
        <v>1</v>
      </c>
      <c r="Q7" s="19">
        <v>0.03</v>
      </c>
      <c r="R7" s="20" t="s">
        <v>148</v>
      </c>
      <c r="S7" s="17" t="s">
        <v>149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119</v>
      </c>
      <c r="B8" s="16">
        <v>204000</v>
      </c>
      <c r="C8" s="24">
        <v>0.67</v>
      </c>
      <c r="D8" s="3"/>
      <c r="E8" s="15">
        <v>3</v>
      </c>
      <c r="F8" s="3">
        <v>7</v>
      </c>
      <c r="G8" s="2">
        <v>46172</v>
      </c>
      <c r="H8" s="16">
        <v>8595</v>
      </c>
      <c r="I8" s="3" t="s">
        <v>42</v>
      </c>
      <c r="J8" s="5" t="s">
        <v>150</v>
      </c>
      <c r="K8" s="5" t="s">
        <v>43</v>
      </c>
      <c r="L8" s="3"/>
      <c r="M8" s="3" t="s">
        <v>151</v>
      </c>
      <c r="N8" s="18">
        <v>7085</v>
      </c>
      <c r="O8" s="17" t="s">
        <v>31</v>
      </c>
      <c r="P8" s="19">
        <f t="shared" si="0"/>
        <v>0.82431646305991857</v>
      </c>
      <c r="Q8" s="19">
        <v>0.02</v>
      </c>
      <c r="R8" s="20" t="s">
        <v>152</v>
      </c>
      <c r="S8" s="17" t="s">
        <v>153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15">
        <v>4</v>
      </c>
      <c r="F9" s="3">
        <v>6</v>
      </c>
      <c r="G9" s="2">
        <v>46171</v>
      </c>
      <c r="H9" s="16">
        <v>8058</v>
      </c>
      <c r="I9" s="3" t="s">
        <v>154</v>
      </c>
      <c r="J9" s="5" t="s">
        <v>155</v>
      </c>
      <c r="K9" s="5" t="s">
        <v>156</v>
      </c>
      <c r="L9" s="3"/>
      <c r="M9" s="3" t="s">
        <v>151</v>
      </c>
      <c r="N9" s="18">
        <v>6200</v>
      </c>
      <c r="O9" s="17" t="s">
        <v>31</v>
      </c>
      <c r="P9" s="19">
        <f t="shared" si="0"/>
        <v>0.76942169272772398</v>
      </c>
      <c r="Q9" s="19">
        <v>0.04</v>
      </c>
      <c r="R9" s="20" t="s">
        <v>157</v>
      </c>
      <c r="S9" s="17" t="s">
        <v>51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15">
        <v>7</v>
      </c>
      <c r="F10" s="3">
        <v>5</v>
      </c>
      <c r="G10" s="2">
        <v>46168</v>
      </c>
      <c r="H10" s="16">
        <v>7241</v>
      </c>
      <c r="I10" s="3" t="s">
        <v>54</v>
      </c>
      <c r="J10" s="5" t="s">
        <v>158</v>
      </c>
      <c r="K10" s="5" t="s">
        <v>159</v>
      </c>
      <c r="L10" s="3"/>
      <c r="M10" s="25" t="s">
        <v>57</v>
      </c>
      <c r="N10" s="18">
        <v>5500</v>
      </c>
      <c r="O10" s="17" t="s">
        <v>31</v>
      </c>
      <c r="P10" s="19">
        <f t="shared" si="0"/>
        <v>0.75956359618837177</v>
      </c>
      <c r="Q10" s="19">
        <v>0.01</v>
      </c>
      <c r="R10" s="20" t="s">
        <v>160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1.02</v>
      </c>
      <c r="B11" s="16">
        <v>140000</v>
      </c>
      <c r="C11" s="8"/>
      <c r="D11" s="3"/>
      <c r="E11" s="15">
        <v>8</v>
      </c>
      <c r="F11" s="3">
        <v>4</v>
      </c>
      <c r="G11" s="2">
        <v>46167</v>
      </c>
      <c r="H11" s="16">
        <v>7747</v>
      </c>
      <c r="I11" s="3" t="s">
        <v>59</v>
      </c>
      <c r="J11" s="5" t="s">
        <v>161</v>
      </c>
      <c r="K11" s="5" t="s">
        <v>162</v>
      </c>
      <c r="L11" s="3"/>
      <c r="M11" s="25" t="s">
        <v>57</v>
      </c>
      <c r="N11" s="18">
        <v>6500</v>
      </c>
      <c r="O11" s="17" t="s">
        <v>31</v>
      </c>
      <c r="P11" s="19">
        <f t="shared" si="0"/>
        <v>0.83903446495417577</v>
      </c>
      <c r="Q11" s="19">
        <v>0.02</v>
      </c>
      <c r="R11" s="20" t="s">
        <v>163</v>
      </c>
      <c r="S11" s="17"/>
      <c r="T11" s="17"/>
      <c r="U11" s="17">
        <v>1</v>
      </c>
      <c r="V11" s="17">
        <v>1</v>
      </c>
      <c r="W11" s="17"/>
      <c r="X11" s="17" t="s">
        <v>63</v>
      </c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15">
        <v>9</v>
      </c>
      <c r="F12" s="3">
        <v>3</v>
      </c>
      <c r="G12" s="2">
        <v>46166</v>
      </c>
      <c r="H12" s="16">
        <v>8493</v>
      </c>
      <c r="I12" s="3" t="s">
        <v>64</v>
      </c>
      <c r="J12" s="5" t="s">
        <v>164</v>
      </c>
      <c r="K12" s="5" t="s">
        <v>165</v>
      </c>
      <c r="L12" s="3"/>
      <c r="M12" s="25" t="s">
        <v>57</v>
      </c>
      <c r="N12" s="18">
        <v>7000</v>
      </c>
      <c r="O12" s="17" t="s">
        <v>31</v>
      </c>
      <c r="P12" s="19">
        <f t="shared" si="0"/>
        <v>0.82420817143529967</v>
      </c>
      <c r="Q12" s="19"/>
      <c r="R12" s="20" t="s">
        <v>166</v>
      </c>
      <c r="S12" s="17"/>
      <c r="T12" s="17"/>
      <c r="U12" s="17">
        <v>1</v>
      </c>
      <c r="V12" s="17">
        <v>1</v>
      </c>
      <c r="W12" s="17"/>
      <c r="X12" s="17" t="s">
        <v>63</v>
      </c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16691250</v>
      </c>
      <c r="D13" s="3"/>
      <c r="E13" s="15">
        <v>10</v>
      </c>
      <c r="F13" s="3">
        <v>2</v>
      </c>
      <c r="G13" s="2">
        <v>46165</v>
      </c>
      <c r="H13" s="16">
        <v>8040</v>
      </c>
      <c r="I13" s="3" t="s">
        <v>69</v>
      </c>
      <c r="J13" s="5" t="s">
        <v>167</v>
      </c>
      <c r="K13" s="5" t="s">
        <v>70</v>
      </c>
      <c r="L13" s="3"/>
      <c r="M13" s="25" t="s">
        <v>57</v>
      </c>
      <c r="N13" s="18">
        <v>5500</v>
      </c>
      <c r="O13" s="17" t="s">
        <v>31</v>
      </c>
      <c r="P13" s="19">
        <f t="shared" si="0"/>
        <v>0.6840796019900498</v>
      </c>
      <c r="Q13" s="19"/>
      <c r="R13" s="20" t="s">
        <v>168</v>
      </c>
      <c r="S13" s="17"/>
      <c r="T13" s="17"/>
      <c r="U13" s="17">
        <v>1</v>
      </c>
      <c r="V13" s="17">
        <v>1</v>
      </c>
      <c r="W13" s="17"/>
      <c r="X13" s="17"/>
      <c r="Y13" s="17" t="s">
        <v>73</v>
      </c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12873750</v>
      </c>
      <c r="D14" s="3"/>
      <c r="E14" s="15">
        <v>11</v>
      </c>
      <c r="F14" s="3">
        <v>1</v>
      </c>
      <c r="G14" s="2">
        <v>46164</v>
      </c>
      <c r="H14" s="16">
        <v>9468</v>
      </c>
      <c r="I14" s="3" t="s">
        <v>169</v>
      </c>
      <c r="J14" s="5" t="s">
        <v>71</v>
      </c>
      <c r="K14" s="5"/>
      <c r="L14" s="3"/>
      <c r="M14" s="25" t="s">
        <v>170</v>
      </c>
      <c r="N14" s="18">
        <v>8123</v>
      </c>
      <c r="O14" s="17" t="s">
        <v>31</v>
      </c>
      <c r="P14" s="19">
        <f t="shared" si="0"/>
        <v>0.85794254330376007</v>
      </c>
      <c r="Q14" s="19"/>
      <c r="R14" s="20" t="s">
        <v>171</v>
      </c>
      <c r="S14" s="17"/>
      <c r="T14" s="17"/>
      <c r="U14" s="17"/>
      <c r="V14" s="17"/>
      <c r="W14" s="17"/>
      <c r="X14" s="17" t="s">
        <v>172</v>
      </c>
      <c r="Y14" s="17"/>
      <c r="Z14" s="17" t="s">
        <v>33</v>
      </c>
      <c r="AA14" s="21"/>
      <c r="AB14" s="22"/>
      <c r="AC14" s="23"/>
      <c r="AD14" s="4"/>
      <c r="AE14" s="4"/>
      <c r="AF14" s="4"/>
      <c r="AG14" s="4"/>
    </row>
    <row r="15" spans="1:33" ht="19.5" customHeight="1" x14ac:dyDescent="0.2">
      <c r="A15" s="40"/>
      <c r="B15" s="3" t="s">
        <v>75</v>
      </c>
      <c r="C15" s="8"/>
      <c r="D15" s="3"/>
      <c r="E15" s="28"/>
      <c r="F15" s="29"/>
      <c r="G15" s="30"/>
      <c r="H15" s="31"/>
      <c r="I15" s="32"/>
      <c r="J15" s="33"/>
      <c r="K15" s="34"/>
      <c r="L15" s="35"/>
      <c r="M15" s="33"/>
      <c r="N15" s="36"/>
      <c r="O15" s="32"/>
      <c r="P15" s="32"/>
      <c r="Q15" s="37"/>
      <c r="R15" s="38"/>
      <c r="S15" s="32"/>
      <c r="T15" s="32"/>
      <c r="U15" s="32"/>
      <c r="V15" s="32"/>
      <c r="W15" s="32"/>
      <c r="X15" s="32"/>
      <c r="Y15" s="32"/>
      <c r="Z15" s="32"/>
      <c r="AA15" s="32"/>
      <c r="AB15" s="39"/>
      <c r="AC15" s="39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3800000</v>
      </c>
      <c r="D16" s="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  <c r="X16" s="42"/>
      <c r="Y16" s="42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108" t="s">
        <v>79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  <c r="S17" s="42"/>
      <c r="T17" s="42"/>
      <c r="U17" s="42"/>
      <c r="V17" s="3"/>
      <c r="W17" s="5"/>
      <c r="X17" s="5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3" t="s">
        <v>4</v>
      </c>
      <c r="F18" s="43" t="s">
        <v>20</v>
      </c>
      <c r="G18" s="43" t="s">
        <v>21</v>
      </c>
      <c r="H18" s="43" t="s">
        <v>8</v>
      </c>
      <c r="I18" s="43" t="s">
        <v>81</v>
      </c>
      <c r="J18" s="43" t="s">
        <v>22</v>
      </c>
      <c r="K18" s="43" t="s">
        <v>10</v>
      </c>
      <c r="L18" s="43" t="s">
        <v>82</v>
      </c>
      <c r="M18" s="43" t="s">
        <v>12</v>
      </c>
      <c r="N18" s="43" t="s">
        <v>83</v>
      </c>
      <c r="O18" s="43" t="s">
        <v>84</v>
      </c>
      <c r="P18" s="43" t="s">
        <v>85</v>
      </c>
      <c r="Q18" s="43" t="s">
        <v>86</v>
      </c>
      <c r="R18" s="43" t="s">
        <v>87</v>
      </c>
      <c r="S18" s="42"/>
      <c r="T18" s="42"/>
      <c r="U18" s="42"/>
      <c r="V18" s="3"/>
      <c r="W18" s="5"/>
      <c r="X18" s="5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14"/>
      <c r="E19" s="44">
        <v>11</v>
      </c>
      <c r="F19" s="44">
        <v>2</v>
      </c>
      <c r="G19" s="45">
        <v>46174</v>
      </c>
      <c r="H19" s="46">
        <v>4057</v>
      </c>
      <c r="I19" s="46">
        <v>3651</v>
      </c>
      <c r="J19" s="44" t="s">
        <v>169</v>
      </c>
      <c r="K19" s="47">
        <v>0.86</v>
      </c>
      <c r="L19" s="48"/>
      <c r="M19" s="49"/>
      <c r="N19" s="50" t="s">
        <v>173</v>
      </c>
      <c r="O19" s="44" t="s">
        <v>174</v>
      </c>
      <c r="P19" s="46"/>
      <c r="Q19" s="51"/>
      <c r="R19" s="46"/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11</v>
      </c>
      <c r="F20" s="44">
        <v>1</v>
      </c>
      <c r="G20" s="45">
        <v>46174</v>
      </c>
      <c r="H20" s="46">
        <v>4066</v>
      </c>
      <c r="I20" s="46">
        <v>3659</v>
      </c>
      <c r="J20" s="44" t="s">
        <v>169</v>
      </c>
      <c r="K20" s="47">
        <v>0.86</v>
      </c>
      <c r="L20" s="48"/>
      <c r="M20" s="49"/>
      <c r="N20" s="50" t="s">
        <v>173</v>
      </c>
      <c r="O20" s="44" t="s">
        <v>174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14</v>
      </c>
      <c r="F21" s="44">
        <v>15</v>
      </c>
      <c r="G21" s="45">
        <v>46171</v>
      </c>
      <c r="H21" s="46">
        <v>4463</v>
      </c>
      <c r="I21" s="46">
        <v>4017</v>
      </c>
      <c r="J21" s="44" t="s">
        <v>92</v>
      </c>
      <c r="K21" s="47">
        <v>0.56000000000000005</v>
      </c>
      <c r="L21" s="48"/>
      <c r="M21" s="49" t="s">
        <v>175</v>
      </c>
      <c r="N21" s="50" t="s">
        <v>176</v>
      </c>
      <c r="O21" s="50" t="s">
        <v>177</v>
      </c>
      <c r="P21" s="46"/>
      <c r="Q21" s="51"/>
      <c r="R21" s="46"/>
      <c r="S21" s="16" t="s">
        <v>101</v>
      </c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15</v>
      </c>
      <c r="F22" s="44">
        <v>14</v>
      </c>
      <c r="G22" s="45">
        <v>46170</v>
      </c>
      <c r="H22" s="46">
        <v>3686</v>
      </c>
      <c r="I22" s="46">
        <v>3317</v>
      </c>
      <c r="J22" s="44" t="s">
        <v>96</v>
      </c>
      <c r="K22" s="47">
        <v>0.49</v>
      </c>
      <c r="L22" s="48"/>
      <c r="M22" s="49" t="s">
        <v>178</v>
      </c>
      <c r="N22" s="50" t="s">
        <v>179</v>
      </c>
      <c r="O22" s="50" t="s">
        <v>180</v>
      </c>
      <c r="P22" s="46"/>
      <c r="Q22" s="51"/>
      <c r="R22" s="46" t="s">
        <v>100</v>
      </c>
      <c r="S22" s="3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16</v>
      </c>
      <c r="F23" s="44">
        <v>12</v>
      </c>
      <c r="G23" s="45">
        <v>46169</v>
      </c>
      <c r="H23" s="46">
        <v>3183</v>
      </c>
      <c r="I23" s="46">
        <v>2864</v>
      </c>
      <c r="J23" s="44" t="s">
        <v>102</v>
      </c>
      <c r="K23" s="47">
        <v>0.65</v>
      </c>
      <c r="L23" s="48"/>
      <c r="M23" s="49" t="s">
        <v>181</v>
      </c>
      <c r="N23" s="50" t="s">
        <v>182</v>
      </c>
      <c r="O23" s="50" t="s">
        <v>183</v>
      </c>
      <c r="P23" s="46"/>
      <c r="Q23" s="51"/>
      <c r="R23" s="46"/>
      <c r="S23" s="3"/>
      <c r="T23" s="3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17</v>
      </c>
      <c r="F24" s="44">
        <v>11</v>
      </c>
      <c r="G24" s="45">
        <v>46168</v>
      </c>
      <c r="H24" s="46">
        <v>5091</v>
      </c>
      <c r="I24" s="46">
        <v>4582</v>
      </c>
      <c r="J24" s="44" t="s">
        <v>107</v>
      </c>
      <c r="K24" s="47">
        <v>0.68</v>
      </c>
      <c r="L24" s="48"/>
      <c r="M24" s="49"/>
      <c r="N24" s="50" t="s">
        <v>184</v>
      </c>
      <c r="O24" s="50" t="s">
        <v>185</v>
      </c>
      <c r="P24" s="46">
        <v>4733</v>
      </c>
      <c r="Q24" s="52">
        <f>P24/H24</f>
        <v>0.92967982714594377</v>
      </c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M25" s="3"/>
      <c r="N25" s="4"/>
      <c r="O25" s="4"/>
      <c r="P25" s="4"/>
      <c r="Q25" s="4"/>
      <c r="R25" s="4"/>
      <c r="S25" s="16"/>
      <c r="T25" s="53"/>
      <c r="U25" s="54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M26" s="4"/>
      <c r="N26" s="4"/>
      <c r="O26" s="4"/>
      <c r="P26" s="4"/>
      <c r="Q26" s="4"/>
      <c r="R26" s="4"/>
      <c r="S26" s="16"/>
      <c r="T26" s="54"/>
      <c r="U26" s="57"/>
      <c r="V26" s="4"/>
      <c r="W26" s="4"/>
      <c r="X26" s="4"/>
      <c r="Y26" s="4"/>
      <c r="Z26" s="4"/>
      <c r="AA26" s="4"/>
      <c r="AB26" s="4"/>
      <c r="AE26" s="4"/>
      <c r="AF26" s="4"/>
    </row>
    <row r="27" spans="1:33" ht="19.5" customHeight="1" x14ac:dyDescent="0.2">
      <c r="A27" s="60"/>
      <c r="B27" s="3" t="s">
        <v>74</v>
      </c>
      <c r="C27" s="8"/>
      <c r="D27" s="14"/>
      <c r="E27" s="55" t="s">
        <v>110</v>
      </c>
      <c r="I27" s="56" t="s">
        <v>76</v>
      </c>
      <c r="J27" s="105" t="s">
        <v>111</v>
      </c>
      <c r="K27" s="106"/>
      <c r="L27" s="107"/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58" t="s">
        <v>112</v>
      </c>
      <c r="G28" s="3" t="s">
        <v>186</v>
      </c>
      <c r="H28" s="4"/>
      <c r="I28" s="3"/>
      <c r="J28" s="59" t="s">
        <v>114</v>
      </c>
      <c r="K28" s="59" t="s">
        <v>115</v>
      </c>
      <c r="L28" s="59" t="s">
        <v>116</v>
      </c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D28" s="4"/>
      <c r="AE28" s="4"/>
    </row>
    <row r="29" spans="1:33" ht="19.5" customHeight="1" x14ac:dyDescent="0.2">
      <c r="A29" s="15"/>
      <c r="B29" s="3" t="s">
        <v>77</v>
      </c>
      <c r="C29" s="27"/>
      <c r="D29" s="14"/>
      <c r="E29" s="3"/>
      <c r="F29" s="55"/>
      <c r="G29" s="3"/>
      <c r="H29" s="3"/>
      <c r="I29" s="3"/>
      <c r="J29" s="3" t="s">
        <v>117</v>
      </c>
      <c r="K29" s="53"/>
      <c r="L29" s="53">
        <v>7.0000000000000007E-2</v>
      </c>
      <c r="M29" s="4"/>
      <c r="N29" s="4"/>
      <c r="O29" s="4"/>
      <c r="P29" s="4"/>
      <c r="Q29" s="4"/>
      <c r="R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3" t="s">
        <v>118</v>
      </c>
      <c r="F30" s="3"/>
      <c r="H30" s="3"/>
      <c r="I30" s="3"/>
      <c r="J30" s="3"/>
      <c r="K30" s="4"/>
      <c r="L30" s="53"/>
      <c r="M30" s="4"/>
      <c r="N30" s="4"/>
      <c r="O30" s="4"/>
      <c r="P30" s="4"/>
      <c r="Q30" s="4"/>
      <c r="R30" s="4"/>
      <c r="S30" s="3"/>
      <c r="T30" s="5"/>
      <c r="U30" s="4"/>
      <c r="V30" s="4"/>
      <c r="W30" s="4"/>
      <c r="X30" s="4"/>
      <c r="Y30" s="4"/>
      <c r="Z30" s="4"/>
      <c r="AA30" s="4"/>
      <c r="AB30" s="4"/>
    </row>
    <row r="31" spans="1:33" ht="19.5" customHeight="1" x14ac:dyDescent="0.2">
      <c r="A31" s="6" t="s">
        <v>3</v>
      </c>
      <c r="B31" s="3"/>
      <c r="C31" s="8"/>
      <c r="D31" s="14"/>
      <c r="E31" s="17" t="s">
        <v>119</v>
      </c>
      <c r="F31" s="3">
        <v>0</v>
      </c>
      <c r="G31" s="3"/>
      <c r="H31" s="3"/>
      <c r="I31" s="3"/>
      <c r="J31" s="3" t="s">
        <v>120</v>
      </c>
      <c r="K31" s="53"/>
      <c r="L31" s="53">
        <v>0.05</v>
      </c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AD31" s="4"/>
      <c r="AE31" s="4"/>
    </row>
    <row r="32" spans="1:33" ht="19.5" customHeight="1" x14ac:dyDescent="0.2">
      <c r="A32" s="14"/>
      <c r="B32" s="3"/>
      <c r="C32" s="8"/>
      <c r="D32" s="14"/>
      <c r="E32" s="17" t="s">
        <v>122</v>
      </c>
      <c r="F32" s="3">
        <v>0</v>
      </c>
      <c r="G32" s="3"/>
      <c r="H32" s="5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"/>
      <c r="F33" s="3"/>
      <c r="G33" s="3"/>
      <c r="H33" s="5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5" t="s">
        <v>123</v>
      </c>
      <c r="F34" s="3"/>
      <c r="G34" s="3"/>
      <c r="H34" s="53"/>
      <c r="I34" s="3"/>
      <c r="J34" s="3"/>
      <c r="K34" s="17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61" t="s">
        <v>124</v>
      </c>
      <c r="F35" s="3">
        <v>0</v>
      </c>
      <c r="G35" s="3"/>
      <c r="H35" s="3"/>
      <c r="I35" s="3"/>
      <c r="J35" s="62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61" t="s">
        <v>125</v>
      </c>
      <c r="F36" s="3" t="s">
        <v>187</v>
      </c>
      <c r="G36" s="3"/>
      <c r="H36" s="3"/>
      <c r="I36" s="3"/>
      <c r="J36" s="63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3"/>
      <c r="F37" s="3"/>
      <c r="G37" s="3"/>
      <c r="H37" s="3"/>
      <c r="I37" s="3"/>
      <c r="J37" s="64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5" t="s">
        <v>126</v>
      </c>
      <c r="F38" s="55"/>
      <c r="G38" s="3"/>
      <c r="H38" s="3"/>
      <c r="J38" s="4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65" t="s">
        <v>20</v>
      </c>
      <c r="F39" s="65" t="s">
        <v>127</v>
      </c>
      <c r="G39" s="65" t="s">
        <v>128</v>
      </c>
      <c r="H39" s="65" t="s">
        <v>129</v>
      </c>
      <c r="I39" s="65" t="s">
        <v>87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6" t="s">
        <v>188</v>
      </c>
      <c r="F40" s="67">
        <v>1440</v>
      </c>
      <c r="G40" s="68" t="s">
        <v>189</v>
      </c>
      <c r="H40" s="69" t="s">
        <v>131</v>
      </c>
      <c r="I40" s="68"/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70" t="s">
        <v>190</v>
      </c>
      <c r="F41" s="67">
        <v>254</v>
      </c>
      <c r="G41" s="68">
        <v>0</v>
      </c>
      <c r="H41" s="69" t="s">
        <v>131</v>
      </c>
      <c r="I41" s="68" t="s">
        <v>191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  <c r="AD41" s="4"/>
      <c r="AE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192</v>
      </c>
      <c r="F42" s="67">
        <v>317</v>
      </c>
      <c r="G42" s="68">
        <v>0</v>
      </c>
      <c r="H42" s="69" t="s">
        <v>131</v>
      </c>
      <c r="I42" s="68" t="s">
        <v>193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3"/>
      <c r="E43" s="66" t="s">
        <v>194</v>
      </c>
      <c r="F43" s="71">
        <v>480</v>
      </c>
      <c r="G43" s="72"/>
      <c r="H43" s="69" t="s">
        <v>131</v>
      </c>
      <c r="I43" s="68"/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14"/>
      <c r="E44" s="70" t="s">
        <v>195</v>
      </c>
      <c r="F44" s="71">
        <v>137</v>
      </c>
      <c r="G44" s="72"/>
      <c r="H44" s="69" t="s">
        <v>131</v>
      </c>
      <c r="I44" s="68" t="s">
        <v>196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197</v>
      </c>
      <c r="F45" s="71">
        <v>146</v>
      </c>
      <c r="G45" s="72"/>
      <c r="H45" s="69" t="s">
        <v>131</v>
      </c>
      <c r="I45" s="68" t="s">
        <v>198</v>
      </c>
      <c r="J45" s="4"/>
      <c r="K45" s="4"/>
      <c r="L45" s="4"/>
      <c r="M45" s="73"/>
      <c r="N45" s="18"/>
      <c r="O45" s="18"/>
      <c r="P45" s="17"/>
      <c r="Q45" s="74"/>
      <c r="R45" s="53"/>
      <c r="S45" s="4"/>
      <c r="T45" s="4"/>
      <c r="U45" s="3"/>
      <c r="V45" s="3"/>
      <c r="W45" s="3"/>
      <c r="X45" s="5"/>
      <c r="Y45" s="5"/>
      <c r="Z45" s="5"/>
      <c r="AA45" s="4"/>
      <c r="AB45" s="4"/>
      <c r="AC45" s="4"/>
      <c r="AD45" s="4"/>
      <c r="AE45" s="4"/>
    </row>
    <row r="46" spans="1:31" ht="18.75" customHeight="1" x14ac:dyDescent="0.2">
      <c r="A46" s="14" t="s">
        <v>34</v>
      </c>
      <c r="B46" s="3" t="s">
        <v>35</v>
      </c>
      <c r="C46" s="8" t="s">
        <v>36</v>
      </c>
      <c r="D46" s="14"/>
      <c r="E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66"/>
      <c r="F47" s="4" t="s">
        <v>140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/>
      <c r="F48" s="4" t="s">
        <v>141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9.5" customHeight="1" x14ac:dyDescent="0.2">
      <c r="A49" s="17" t="s">
        <v>52</v>
      </c>
      <c r="B49" s="17" t="s">
        <v>53</v>
      </c>
      <c r="C49" s="8"/>
      <c r="D49" s="14"/>
      <c r="E49" s="75"/>
      <c r="F49" s="4" t="s">
        <v>142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E49" s="4"/>
    </row>
    <row r="50" spans="1:33" ht="19.5" customHeight="1" x14ac:dyDescent="0.2">
      <c r="A50" s="3"/>
      <c r="B50" s="16"/>
      <c r="C50" s="8"/>
      <c r="D50" s="14"/>
      <c r="E50" s="76"/>
      <c r="F50" s="4" t="s">
        <v>143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D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5"/>
      <c r="U52" s="3"/>
      <c r="V52" s="3"/>
      <c r="W52" s="3"/>
      <c r="X52" s="3"/>
      <c r="Y52" s="5"/>
      <c r="Z52" s="5"/>
      <c r="AA52" s="4"/>
      <c r="AB52" s="4"/>
      <c r="AC52" s="4"/>
      <c r="AD52" s="4"/>
      <c r="AE52" s="4"/>
    </row>
    <row r="53" spans="1:33" ht="19.5" customHeight="1" x14ac:dyDescent="0.2">
      <c r="A53" s="60"/>
      <c r="B53" s="3" t="s">
        <v>74</v>
      </c>
      <c r="C53" s="8"/>
      <c r="D53" s="3"/>
      <c r="M53" s="4"/>
      <c r="N53" s="4"/>
      <c r="O53" s="4"/>
      <c r="P53" s="4"/>
      <c r="Q53" s="4"/>
      <c r="R53" s="4"/>
      <c r="S53" s="4"/>
      <c r="T53" s="77" t="s">
        <v>144</v>
      </c>
      <c r="U53" s="77"/>
      <c r="V53" s="18"/>
      <c r="W53" s="19"/>
      <c r="X53" s="18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  <c r="AF57" s="4"/>
      <c r="AG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3"/>
      <c r="Y66" s="3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8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9.5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5.75" customHeight="1" x14ac:dyDescent="0.2">
      <c r="A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30:C30"/>
    <mergeCell ref="A43:C43"/>
    <mergeCell ref="P4:P5"/>
    <mergeCell ref="Q4:Q5"/>
    <mergeCell ref="R4:R5"/>
    <mergeCell ref="N4:N5"/>
    <mergeCell ref="O4:O5"/>
    <mergeCell ref="A17:C17"/>
    <mergeCell ref="E17:R17"/>
    <mergeCell ref="J27:L27"/>
  </mergeCells>
  <printOptions horizontalCentered="1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134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19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15">
        <v>1</v>
      </c>
      <c r="F6" s="3">
        <v>10</v>
      </c>
      <c r="G6" s="2">
        <v>46175</v>
      </c>
      <c r="H6" s="16">
        <v>8313</v>
      </c>
      <c r="I6" s="3" t="s">
        <v>28</v>
      </c>
      <c r="J6" s="5" t="s">
        <v>29</v>
      </c>
      <c r="K6" s="5" t="s">
        <v>199</v>
      </c>
      <c r="L6" s="17">
        <v>0</v>
      </c>
      <c r="M6" s="17"/>
      <c r="N6" s="18">
        <v>8313</v>
      </c>
      <c r="O6" s="17" t="s">
        <v>31</v>
      </c>
      <c r="P6" s="19">
        <f t="shared" ref="P6:P14" si="0">N6/H6</f>
        <v>1</v>
      </c>
      <c r="Q6" s="19">
        <v>0.05</v>
      </c>
      <c r="R6" s="20" t="s">
        <v>200</v>
      </c>
      <c r="S6" s="17" t="s">
        <v>201</v>
      </c>
      <c r="T6" s="17"/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15">
        <v>2</v>
      </c>
      <c r="F7" s="3">
        <v>9</v>
      </c>
      <c r="G7" s="2">
        <v>46174</v>
      </c>
      <c r="H7" s="16">
        <v>7541</v>
      </c>
      <c r="I7" s="3" t="s">
        <v>37</v>
      </c>
      <c r="J7" s="5" t="s">
        <v>38</v>
      </c>
      <c r="K7" s="5" t="s">
        <v>38</v>
      </c>
      <c r="L7" s="3"/>
      <c r="M7" s="17" t="s">
        <v>202</v>
      </c>
      <c r="N7" s="18">
        <v>7541</v>
      </c>
      <c r="O7" s="17" t="s">
        <v>31</v>
      </c>
      <c r="P7" s="19">
        <f t="shared" si="0"/>
        <v>1</v>
      </c>
      <c r="Q7" s="19"/>
      <c r="R7" s="20" t="s">
        <v>203</v>
      </c>
      <c r="S7" s="17" t="s">
        <v>204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118</v>
      </c>
      <c r="B8" s="16">
        <v>199000</v>
      </c>
      <c r="C8" s="24">
        <v>0.7</v>
      </c>
      <c r="D8" s="3"/>
      <c r="E8" s="15">
        <v>3</v>
      </c>
      <c r="F8" s="3">
        <v>8</v>
      </c>
      <c r="G8" s="2">
        <v>46173</v>
      </c>
      <c r="H8" s="16">
        <v>9303</v>
      </c>
      <c r="I8" s="3" t="s">
        <v>42</v>
      </c>
      <c r="J8" s="5" t="s">
        <v>43</v>
      </c>
      <c r="K8" s="5" t="s">
        <v>43</v>
      </c>
      <c r="L8" s="3"/>
      <c r="M8" s="3" t="s">
        <v>205</v>
      </c>
      <c r="N8" s="18">
        <v>8105</v>
      </c>
      <c r="O8" s="17" t="s">
        <v>31</v>
      </c>
      <c r="P8" s="19">
        <f t="shared" si="0"/>
        <v>0.8712243362356229</v>
      </c>
      <c r="Q8" s="19">
        <v>0.03</v>
      </c>
      <c r="R8" s="20" t="s">
        <v>206</v>
      </c>
      <c r="S8" s="17" t="s">
        <v>207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15">
        <v>4</v>
      </c>
      <c r="F9" s="3">
        <v>7</v>
      </c>
      <c r="G9" s="2">
        <v>46172</v>
      </c>
      <c r="H9" s="16">
        <v>8595</v>
      </c>
      <c r="I9" s="3" t="s">
        <v>154</v>
      </c>
      <c r="J9" s="5" t="s">
        <v>208</v>
      </c>
      <c r="K9" s="5" t="s">
        <v>209</v>
      </c>
      <c r="L9" s="3"/>
      <c r="M9" s="3" t="s">
        <v>210</v>
      </c>
      <c r="N9" s="18">
        <v>6700</v>
      </c>
      <c r="O9" s="17" t="s">
        <v>31</v>
      </c>
      <c r="P9" s="19">
        <f t="shared" si="0"/>
        <v>0.77952297847585805</v>
      </c>
      <c r="Q9" s="19">
        <v>0.01</v>
      </c>
      <c r="R9" s="20" t="s">
        <v>211</v>
      </c>
      <c r="S9" s="17" t="s">
        <v>51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15">
        <v>5</v>
      </c>
      <c r="F10" s="3">
        <v>6</v>
      </c>
      <c r="G10" s="2">
        <v>46171</v>
      </c>
      <c r="H10" s="16">
        <v>8058</v>
      </c>
      <c r="I10" s="3" t="s">
        <v>212</v>
      </c>
      <c r="J10" s="5" t="s">
        <v>213</v>
      </c>
      <c r="K10" s="5" t="s">
        <v>214</v>
      </c>
      <c r="L10" s="3"/>
      <c r="M10" s="3"/>
      <c r="N10" s="18">
        <v>6000</v>
      </c>
      <c r="O10" s="17" t="s">
        <v>31</v>
      </c>
      <c r="P10" s="19">
        <f t="shared" si="0"/>
        <v>0.74460163812360391</v>
      </c>
      <c r="Q10" s="19">
        <v>0.01</v>
      </c>
      <c r="R10" s="20" t="s">
        <v>40</v>
      </c>
      <c r="S10" s="17" t="s">
        <v>215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0.84</v>
      </c>
      <c r="B11" s="16">
        <v>118000</v>
      </c>
      <c r="C11" s="8"/>
      <c r="D11" s="3"/>
      <c r="E11" s="15">
        <v>8</v>
      </c>
      <c r="F11" s="3">
        <v>5</v>
      </c>
      <c r="G11" s="2">
        <v>46168</v>
      </c>
      <c r="H11" s="16">
        <v>7241</v>
      </c>
      <c r="I11" s="3" t="s">
        <v>59</v>
      </c>
      <c r="J11" s="5" t="s">
        <v>216</v>
      </c>
      <c r="K11" s="5" t="s">
        <v>217</v>
      </c>
      <c r="L11" s="3"/>
      <c r="M11" s="25" t="s">
        <v>57</v>
      </c>
      <c r="N11" s="18">
        <v>5500</v>
      </c>
      <c r="O11" s="17" t="s">
        <v>31</v>
      </c>
      <c r="P11" s="19">
        <f t="shared" si="0"/>
        <v>0.75956359618837177</v>
      </c>
      <c r="Q11" s="19"/>
      <c r="R11" s="20" t="s">
        <v>218</v>
      </c>
      <c r="S11" s="17"/>
      <c r="T11" s="17"/>
      <c r="U11" s="17">
        <v>1</v>
      </c>
      <c r="V11" s="17">
        <v>1</v>
      </c>
      <c r="W11" s="17"/>
      <c r="X11" s="17" t="s">
        <v>63</v>
      </c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15">
        <v>9</v>
      </c>
      <c r="F12" s="3">
        <v>4</v>
      </c>
      <c r="G12" s="2">
        <v>46167</v>
      </c>
      <c r="H12" s="16">
        <v>7747</v>
      </c>
      <c r="I12" s="3" t="s">
        <v>64</v>
      </c>
      <c r="J12" s="5" t="s">
        <v>164</v>
      </c>
      <c r="K12" s="5" t="s">
        <v>219</v>
      </c>
      <c r="L12" s="3"/>
      <c r="M12" s="25" t="s">
        <v>57</v>
      </c>
      <c r="N12" s="18">
        <v>6500</v>
      </c>
      <c r="O12" s="17" t="s">
        <v>31</v>
      </c>
      <c r="P12" s="19">
        <f t="shared" si="0"/>
        <v>0.83903446495417577</v>
      </c>
      <c r="Q12" s="19"/>
      <c r="R12" s="20" t="s">
        <v>220</v>
      </c>
      <c r="S12" s="17"/>
      <c r="T12" s="17"/>
      <c r="U12" s="17">
        <v>1</v>
      </c>
      <c r="V12" s="17">
        <v>1</v>
      </c>
      <c r="W12" s="17"/>
      <c r="X12" s="17" t="s">
        <v>63</v>
      </c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13882500</v>
      </c>
      <c r="D13" s="3"/>
      <c r="E13" s="15">
        <v>10</v>
      </c>
      <c r="F13" s="3">
        <v>3</v>
      </c>
      <c r="G13" s="2">
        <v>46166</v>
      </c>
      <c r="H13" s="16">
        <v>8493</v>
      </c>
      <c r="I13" s="3" t="s">
        <v>69</v>
      </c>
      <c r="J13" s="5" t="s">
        <v>221</v>
      </c>
      <c r="K13" s="5" t="s">
        <v>71</v>
      </c>
      <c r="L13" s="3"/>
      <c r="M13" s="25" t="s">
        <v>57</v>
      </c>
      <c r="N13" s="18">
        <v>6500</v>
      </c>
      <c r="O13" s="17" t="s">
        <v>31</v>
      </c>
      <c r="P13" s="19">
        <f t="shared" si="0"/>
        <v>0.76533615918992115</v>
      </c>
      <c r="Q13" s="19">
        <v>0.03</v>
      </c>
      <c r="R13" s="20" t="s">
        <v>222</v>
      </c>
      <c r="S13" s="17"/>
      <c r="T13" s="17"/>
      <c r="U13" s="17">
        <v>1</v>
      </c>
      <c r="V13" s="17">
        <v>1</v>
      </c>
      <c r="W13" s="17"/>
      <c r="X13" s="17"/>
      <c r="Y13" s="17" t="s">
        <v>73</v>
      </c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11793750</v>
      </c>
      <c r="D14" s="3"/>
      <c r="E14" s="15">
        <v>11</v>
      </c>
      <c r="F14" s="3">
        <v>2</v>
      </c>
      <c r="G14" s="2">
        <v>46165</v>
      </c>
      <c r="H14" s="16">
        <v>8040</v>
      </c>
      <c r="I14" s="3" t="s">
        <v>169</v>
      </c>
      <c r="J14" s="5" t="s">
        <v>71</v>
      </c>
      <c r="K14" s="5"/>
      <c r="L14" s="3"/>
      <c r="M14" s="25" t="s">
        <v>170</v>
      </c>
      <c r="N14" s="18">
        <v>5604</v>
      </c>
      <c r="O14" s="17" t="s">
        <v>31</v>
      </c>
      <c r="P14" s="19">
        <f t="shared" si="0"/>
        <v>0.69701492537313436</v>
      </c>
      <c r="Q14" s="19"/>
      <c r="R14" s="20" t="s">
        <v>223</v>
      </c>
      <c r="S14" s="17"/>
      <c r="T14" s="17"/>
      <c r="U14" s="17"/>
      <c r="V14" s="17"/>
      <c r="W14" s="17"/>
      <c r="X14" s="17" t="s">
        <v>172</v>
      </c>
      <c r="Y14" s="17"/>
      <c r="Z14" s="17" t="s">
        <v>33</v>
      </c>
      <c r="AA14" s="21"/>
      <c r="AB14" s="22"/>
      <c r="AC14" s="23"/>
      <c r="AD14" s="4"/>
      <c r="AE14" s="4"/>
      <c r="AF14" s="4"/>
      <c r="AG14" s="4"/>
    </row>
    <row r="15" spans="1:33" ht="19.5" customHeight="1" x14ac:dyDescent="0.2">
      <c r="A15" s="40"/>
      <c r="B15" s="3" t="s">
        <v>75</v>
      </c>
      <c r="C15" s="8"/>
      <c r="D15" s="3"/>
      <c r="E15" s="28"/>
      <c r="F15" s="29"/>
      <c r="G15" s="30"/>
      <c r="H15" s="31"/>
      <c r="I15" s="32"/>
      <c r="J15" s="33"/>
      <c r="K15" s="34"/>
      <c r="L15" s="35"/>
      <c r="M15" s="33"/>
      <c r="N15" s="36"/>
      <c r="O15" s="32"/>
      <c r="P15" s="32"/>
      <c r="Q15" s="37"/>
      <c r="R15" s="38"/>
      <c r="S15" s="32"/>
      <c r="T15" s="32"/>
      <c r="U15" s="32"/>
      <c r="V15" s="32"/>
      <c r="W15" s="32"/>
      <c r="X15" s="32"/>
      <c r="Y15" s="32"/>
      <c r="Z15" s="32"/>
      <c r="AA15" s="32"/>
      <c r="AB15" s="39"/>
      <c r="AC15" s="39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2000000</v>
      </c>
      <c r="D16" s="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  <c r="X16" s="42"/>
      <c r="Y16" s="42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108" t="s">
        <v>79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  <c r="S17" s="42"/>
      <c r="T17" s="42"/>
      <c r="U17" s="42"/>
      <c r="V17" s="3"/>
      <c r="W17" s="5"/>
      <c r="X17" s="5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3" t="s">
        <v>4</v>
      </c>
      <c r="F18" s="43" t="s">
        <v>20</v>
      </c>
      <c r="G18" s="43" t="s">
        <v>21</v>
      </c>
      <c r="H18" s="43" t="s">
        <v>8</v>
      </c>
      <c r="I18" s="43" t="s">
        <v>81</v>
      </c>
      <c r="J18" s="43" t="s">
        <v>22</v>
      </c>
      <c r="K18" s="43" t="s">
        <v>10</v>
      </c>
      <c r="L18" s="43" t="s">
        <v>82</v>
      </c>
      <c r="M18" s="43" t="s">
        <v>12</v>
      </c>
      <c r="N18" s="43" t="s">
        <v>83</v>
      </c>
      <c r="O18" s="43" t="s">
        <v>84</v>
      </c>
      <c r="P18" s="43" t="s">
        <v>85</v>
      </c>
      <c r="Q18" s="43" t="s">
        <v>86</v>
      </c>
      <c r="R18" s="43" t="s">
        <v>87</v>
      </c>
      <c r="S18" s="42"/>
      <c r="T18" s="42"/>
      <c r="U18" s="42"/>
      <c r="V18" s="3"/>
      <c r="W18" s="5"/>
      <c r="X18" s="5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14"/>
      <c r="E19" s="44">
        <v>11</v>
      </c>
      <c r="F19" s="44">
        <v>3</v>
      </c>
      <c r="G19" s="45">
        <v>46175</v>
      </c>
      <c r="H19" s="46">
        <v>5604</v>
      </c>
      <c r="I19" s="46">
        <v>5043</v>
      </c>
      <c r="J19" s="44" t="s">
        <v>169</v>
      </c>
      <c r="K19" s="47">
        <v>0.7</v>
      </c>
      <c r="L19" s="48"/>
      <c r="M19" s="49"/>
      <c r="N19" s="50" t="s">
        <v>224</v>
      </c>
      <c r="O19" s="44" t="s">
        <v>225</v>
      </c>
      <c r="P19" s="46"/>
      <c r="Q19" s="51"/>
      <c r="R19" s="46"/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12</v>
      </c>
      <c r="F20" s="44">
        <v>2</v>
      </c>
      <c r="G20" s="45">
        <v>46174</v>
      </c>
      <c r="H20" s="46">
        <v>4057</v>
      </c>
      <c r="I20" s="46">
        <v>3651</v>
      </c>
      <c r="J20" s="44" t="s">
        <v>226</v>
      </c>
      <c r="K20" s="47">
        <v>0.86</v>
      </c>
      <c r="L20" s="48">
        <v>0.02</v>
      </c>
      <c r="M20" s="49" t="s">
        <v>227</v>
      </c>
      <c r="N20" s="50" t="s">
        <v>224</v>
      </c>
      <c r="O20" s="44" t="s">
        <v>228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12</v>
      </c>
      <c r="F21" s="44">
        <v>1</v>
      </c>
      <c r="G21" s="45">
        <v>46174</v>
      </c>
      <c r="H21" s="46">
        <v>4066</v>
      </c>
      <c r="I21" s="46">
        <v>3659</v>
      </c>
      <c r="J21" s="44" t="s">
        <v>226</v>
      </c>
      <c r="K21" s="47">
        <v>0.86</v>
      </c>
      <c r="L21" s="48"/>
      <c r="M21" s="49" t="s">
        <v>229</v>
      </c>
      <c r="N21" s="50" t="s">
        <v>224</v>
      </c>
      <c r="O21" s="44" t="s">
        <v>230</v>
      </c>
      <c r="P21" s="46"/>
      <c r="Q21" s="51"/>
      <c r="R21" s="46"/>
      <c r="S21" s="16" t="s">
        <v>101</v>
      </c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15</v>
      </c>
      <c r="F22" s="44">
        <v>15</v>
      </c>
      <c r="G22" s="45">
        <v>46171</v>
      </c>
      <c r="H22" s="46">
        <v>4463</v>
      </c>
      <c r="I22" s="46">
        <v>4017</v>
      </c>
      <c r="J22" s="44" t="s">
        <v>96</v>
      </c>
      <c r="K22" s="47">
        <v>0.56000000000000005</v>
      </c>
      <c r="L22" s="48"/>
      <c r="M22" s="49" t="s">
        <v>231</v>
      </c>
      <c r="N22" s="50" t="s">
        <v>232</v>
      </c>
      <c r="O22" s="50" t="s">
        <v>233</v>
      </c>
      <c r="P22" s="46"/>
      <c r="Q22" s="51"/>
      <c r="R22" s="46" t="s">
        <v>100</v>
      </c>
      <c r="S22" s="3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16</v>
      </c>
      <c r="F23" s="44">
        <v>14</v>
      </c>
      <c r="G23" s="45">
        <v>46170</v>
      </c>
      <c r="H23" s="46">
        <v>3686</v>
      </c>
      <c r="I23" s="46">
        <v>3317</v>
      </c>
      <c r="J23" s="44" t="s">
        <v>102</v>
      </c>
      <c r="K23" s="47">
        <v>0.49</v>
      </c>
      <c r="L23" s="48"/>
      <c r="M23" s="49" t="s">
        <v>234</v>
      </c>
      <c r="N23" s="50" t="s">
        <v>235</v>
      </c>
      <c r="O23" s="50" t="s">
        <v>236</v>
      </c>
      <c r="P23" s="46"/>
      <c r="Q23" s="51"/>
      <c r="R23" s="46"/>
      <c r="S23" s="3"/>
      <c r="T23" s="3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17</v>
      </c>
      <c r="F24" s="44">
        <v>12</v>
      </c>
      <c r="G24" s="45">
        <v>46169</v>
      </c>
      <c r="H24" s="46">
        <v>3183</v>
      </c>
      <c r="I24" s="46">
        <v>2864</v>
      </c>
      <c r="J24" s="44" t="s">
        <v>107</v>
      </c>
      <c r="K24" s="47">
        <v>0.65</v>
      </c>
      <c r="L24" s="48"/>
      <c r="M24" s="49" t="s">
        <v>237</v>
      </c>
      <c r="N24" s="50" t="s">
        <v>238</v>
      </c>
      <c r="O24" s="50" t="s">
        <v>236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M25" s="3"/>
      <c r="N25" s="4"/>
      <c r="O25" s="4"/>
      <c r="P25" s="4"/>
      <c r="Q25" s="4"/>
      <c r="R25" s="4"/>
      <c r="S25" s="16"/>
      <c r="T25" s="53"/>
      <c r="U25" s="54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M26" s="4"/>
      <c r="N26" s="4"/>
      <c r="O26" s="4"/>
      <c r="P26" s="4"/>
      <c r="Q26" s="4"/>
      <c r="R26" s="4"/>
      <c r="S26" s="16"/>
      <c r="T26" s="54"/>
      <c r="U26" s="57"/>
      <c r="V26" s="4"/>
      <c r="W26" s="4"/>
      <c r="X26" s="4"/>
      <c r="Y26" s="4"/>
      <c r="Z26" s="4"/>
      <c r="AA26" s="4"/>
      <c r="AB26" s="4"/>
      <c r="AE26" s="4"/>
      <c r="AF26" s="4"/>
    </row>
    <row r="27" spans="1:33" ht="19.5" customHeight="1" x14ac:dyDescent="0.2">
      <c r="A27" s="60"/>
      <c r="B27" s="3" t="s">
        <v>74</v>
      </c>
      <c r="C27" s="8"/>
      <c r="D27" s="14"/>
      <c r="E27" s="55" t="s">
        <v>110</v>
      </c>
      <c r="I27" s="56" t="s">
        <v>76</v>
      </c>
      <c r="J27" s="105" t="s">
        <v>111</v>
      </c>
      <c r="K27" s="106"/>
      <c r="L27" s="107"/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58" t="s">
        <v>112</v>
      </c>
      <c r="G28" s="3" t="s">
        <v>239</v>
      </c>
      <c r="H28" s="4"/>
      <c r="I28" s="3"/>
      <c r="J28" s="59" t="s">
        <v>114</v>
      </c>
      <c r="K28" s="59" t="s">
        <v>115</v>
      </c>
      <c r="L28" s="59" t="s">
        <v>116</v>
      </c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D28" s="4"/>
      <c r="AE28" s="4"/>
    </row>
    <row r="29" spans="1:33" ht="19.5" customHeight="1" x14ac:dyDescent="0.2">
      <c r="A29" s="15"/>
      <c r="B29" s="3" t="s">
        <v>77</v>
      </c>
      <c r="C29" s="27"/>
      <c r="D29" s="14"/>
      <c r="E29" s="3"/>
      <c r="F29" s="55"/>
      <c r="G29" s="3"/>
      <c r="H29" s="3"/>
      <c r="I29" s="3"/>
      <c r="J29" s="3" t="s">
        <v>117</v>
      </c>
      <c r="K29" s="53"/>
      <c r="L29" s="53">
        <v>0.09</v>
      </c>
      <c r="M29" s="4"/>
      <c r="N29" s="4"/>
      <c r="O29" s="4"/>
      <c r="P29" s="4"/>
      <c r="Q29" s="4"/>
      <c r="R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3" t="s">
        <v>118</v>
      </c>
      <c r="F30" s="3"/>
      <c r="H30" s="3"/>
      <c r="I30" s="3"/>
      <c r="J30" s="3"/>
      <c r="K30" s="4"/>
      <c r="L30" s="53"/>
      <c r="M30" s="4"/>
      <c r="N30" s="4"/>
      <c r="O30" s="4"/>
      <c r="P30" s="4"/>
      <c r="Q30" s="4"/>
      <c r="R30" s="4"/>
      <c r="S30" s="3"/>
      <c r="T30" s="5"/>
      <c r="U30" s="4"/>
      <c r="V30" s="4"/>
      <c r="W30" s="4"/>
      <c r="X30" s="4"/>
      <c r="Y30" s="4"/>
      <c r="Z30" s="4"/>
      <c r="AA30" s="4"/>
      <c r="AB30" s="4"/>
    </row>
    <row r="31" spans="1:33" ht="19.5" customHeight="1" x14ac:dyDescent="0.2">
      <c r="A31" s="6" t="s">
        <v>3</v>
      </c>
      <c r="B31" s="3"/>
      <c r="C31" s="8"/>
      <c r="D31" s="14"/>
      <c r="E31" s="17" t="s">
        <v>119</v>
      </c>
      <c r="F31" s="3">
        <v>0</v>
      </c>
      <c r="G31" s="3"/>
      <c r="H31" s="3"/>
      <c r="I31" s="3"/>
      <c r="J31" s="3" t="s">
        <v>120</v>
      </c>
      <c r="K31" s="53"/>
      <c r="L31" s="53">
        <v>0.03</v>
      </c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AD31" s="4"/>
      <c r="AE31" s="4"/>
    </row>
    <row r="32" spans="1:33" ht="19.5" customHeight="1" x14ac:dyDescent="0.2">
      <c r="A32" s="14"/>
      <c r="B32" s="3"/>
      <c r="C32" s="8"/>
      <c r="D32" s="14"/>
      <c r="E32" s="17" t="s">
        <v>122</v>
      </c>
      <c r="F32" s="3">
        <v>0</v>
      </c>
      <c r="G32" s="3"/>
      <c r="H32" s="5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"/>
      <c r="F33" s="3"/>
      <c r="G33" s="3"/>
      <c r="H33" s="5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5" t="s">
        <v>123</v>
      </c>
      <c r="F34" s="3"/>
      <c r="G34" s="3"/>
      <c r="H34" s="53"/>
      <c r="I34" s="3"/>
      <c r="J34" s="3"/>
      <c r="K34" s="17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61" t="s">
        <v>124</v>
      </c>
      <c r="F35" s="3">
        <v>0</v>
      </c>
      <c r="G35" s="3"/>
      <c r="H35" s="3"/>
      <c r="I35" s="3"/>
      <c r="J35" s="62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61" t="s">
        <v>125</v>
      </c>
      <c r="F36" s="3" t="s">
        <v>240</v>
      </c>
      <c r="G36" s="3"/>
      <c r="H36" s="3"/>
      <c r="I36" s="3"/>
      <c r="J36" s="63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3"/>
      <c r="F37" s="3"/>
      <c r="G37" s="3"/>
      <c r="H37" s="3"/>
      <c r="I37" s="3"/>
      <c r="J37" s="64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5" t="s">
        <v>126</v>
      </c>
      <c r="F38" s="55"/>
      <c r="G38" s="3"/>
      <c r="H38" s="3"/>
      <c r="J38" s="4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65" t="s">
        <v>20</v>
      </c>
      <c r="F39" s="65" t="s">
        <v>127</v>
      </c>
      <c r="G39" s="65" t="s">
        <v>128</v>
      </c>
      <c r="H39" s="65" t="s">
        <v>129</v>
      </c>
      <c r="I39" s="65" t="s">
        <v>87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6" t="s">
        <v>241</v>
      </c>
      <c r="F40" s="67">
        <v>1280</v>
      </c>
      <c r="G40" s="68">
        <v>0</v>
      </c>
      <c r="H40" s="69" t="s">
        <v>131</v>
      </c>
      <c r="I40" s="68"/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70" t="s">
        <v>242</v>
      </c>
      <c r="F41" s="67">
        <v>235</v>
      </c>
      <c r="G41" s="68">
        <v>0</v>
      </c>
      <c r="H41" s="69" t="s">
        <v>131</v>
      </c>
      <c r="I41" s="68" t="s">
        <v>198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  <c r="AD41" s="4"/>
      <c r="AE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243</v>
      </c>
      <c r="F42" s="67">
        <v>232</v>
      </c>
      <c r="G42" s="68">
        <v>0</v>
      </c>
      <c r="H42" s="69" t="s">
        <v>131</v>
      </c>
      <c r="I42" s="68" t="s">
        <v>198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3"/>
      <c r="E43" s="66" t="s">
        <v>244</v>
      </c>
      <c r="F43" s="71">
        <v>800</v>
      </c>
      <c r="G43" s="72"/>
      <c r="H43" s="69" t="s">
        <v>131</v>
      </c>
      <c r="I43" s="68"/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14"/>
      <c r="E44" s="70" t="s">
        <v>245</v>
      </c>
      <c r="F44" s="71">
        <v>158</v>
      </c>
      <c r="G44" s="72"/>
      <c r="H44" s="69" t="s">
        <v>131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246</v>
      </c>
      <c r="F45" s="71">
        <v>153</v>
      </c>
      <c r="G45" s="72"/>
      <c r="H45" s="69" t="s">
        <v>131</v>
      </c>
      <c r="I45" s="68" t="s">
        <v>40</v>
      </c>
      <c r="J45" s="4"/>
      <c r="K45" s="4"/>
      <c r="L45" s="4"/>
      <c r="M45" s="73"/>
      <c r="N45" s="18"/>
      <c r="O45" s="18"/>
      <c r="P45" s="17"/>
      <c r="Q45" s="74"/>
      <c r="R45" s="53"/>
      <c r="S45" s="4"/>
      <c r="T45" s="4"/>
      <c r="U45" s="3"/>
      <c r="V45" s="3"/>
      <c r="W45" s="3"/>
      <c r="X45" s="5"/>
      <c r="Y45" s="5"/>
      <c r="Z45" s="5"/>
      <c r="AA45" s="4"/>
      <c r="AB45" s="4"/>
      <c r="AC45" s="4"/>
      <c r="AD45" s="4"/>
      <c r="AE45" s="4"/>
    </row>
    <row r="46" spans="1:31" ht="18.75" customHeight="1" x14ac:dyDescent="0.2">
      <c r="A46" s="14" t="s">
        <v>34</v>
      </c>
      <c r="B46" s="3" t="s">
        <v>35</v>
      </c>
      <c r="C46" s="8" t="s">
        <v>36</v>
      </c>
      <c r="D46" s="14"/>
      <c r="E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66"/>
      <c r="F47" s="4" t="s">
        <v>140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/>
      <c r="F48" s="4" t="s">
        <v>141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9.5" customHeight="1" x14ac:dyDescent="0.2">
      <c r="A49" s="17" t="s">
        <v>52</v>
      </c>
      <c r="B49" s="17" t="s">
        <v>53</v>
      </c>
      <c r="C49" s="8"/>
      <c r="D49" s="14"/>
      <c r="E49" s="75"/>
      <c r="F49" s="4" t="s">
        <v>142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E49" s="4"/>
    </row>
    <row r="50" spans="1:33" ht="19.5" customHeight="1" x14ac:dyDescent="0.2">
      <c r="A50" s="3"/>
      <c r="B50" s="16"/>
      <c r="C50" s="8"/>
      <c r="D50" s="14"/>
      <c r="E50" s="76"/>
      <c r="F50" s="4" t="s">
        <v>143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D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5"/>
      <c r="U52" s="3"/>
      <c r="V52" s="3"/>
      <c r="W52" s="3"/>
      <c r="X52" s="3"/>
      <c r="Y52" s="5"/>
      <c r="Z52" s="5"/>
      <c r="AA52" s="4"/>
      <c r="AB52" s="4"/>
      <c r="AC52" s="4"/>
      <c r="AD52" s="4"/>
      <c r="AE52" s="4"/>
    </row>
    <row r="53" spans="1:33" ht="19.5" customHeight="1" x14ac:dyDescent="0.2">
      <c r="A53" s="60"/>
      <c r="B53" s="3" t="s">
        <v>74</v>
      </c>
      <c r="C53" s="8"/>
      <c r="D53" s="3"/>
      <c r="M53" s="4"/>
      <c r="N53" s="4"/>
      <c r="O53" s="4"/>
      <c r="P53" s="4"/>
      <c r="Q53" s="4"/>
      <c r="R53" s="4"/>
      <c r="S53" s="4"/>
      <c r="T53" s="77" t="s">
        <v>144</v>
      </c>
      <c r="U53" s="77"/>
      <c r="V53" s="18"/>
      <c r="W53" s="19"/>
      <c r="X53" s="18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  <c r="AF57" s="4"/>
      <c r="AG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3"/>
      <c r="Y66" s="3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8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9.5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5.75" customHeight="1" x14ac:dyDescent="0.2">
      <c r="A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30:C30"/>
    <mergeCell ref="A43:C43"/>
    <mergeCell ref="P4:P5"/>
    <mergeCell ref="Q4:Q5"/>
    <mergeCell ref="R4:R5"/>
    <mergeCell ref="N4:N5"/>
    <mergeCell ref="O4:O5"/>
    <mergeCell ref="A17:C17"/>
    <mergeCell ref="E17:R17"/>
    <mergeCell ref="J27:L27"/>
  </mergeCells>
  <printOptions horizontalCentered="1"/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154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15">
        <v>1</v>
      </c>
      <c r="F6" s="3">
        <v>11</v>
      </c>
      <c r="G6" s="2">
        <v>46176</v>
      </c>
      <c r="H6" s="16">
        <v>8265</v>
      </c>
      <c r="I6" s="3" t="s">
        <v>28</v>
      </c>
      <c r="J6" s="5" t="s">
        <v>29</v>
      </c>
      <c r="K6" s="5" t="s">
        <v>248</v>
      </c>
      <c r="L6" s="17">
        <v>0</v>
      </c>
      <c r="M6" s="17"/>
      <c r="N6" s="18">
        <v>8265</v>
      </c>
      <c r="O6" s="17" t="s">
        <v>31</v>
      </c>
      <c r="P6" s="19">
        <f t="shared" ref="P6:P14" si="0">N6/H6</f>
        <v>1</v>
      </c>
      <c r="Q6" s="19">
        <v>0.08</v>
      </c>
      <c r="R6" s="20" t="s">
        <v>249</v>
      </c>
      <c r="S6" s="17" t="s">
        <v>201</v>
      </c>
      <c r="T6" s="17"/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15">
        <v>2</v>
      </c>
      <c r="F7" s="3">
        <v>10</v>
      </c>
      <c r="G7" s="2">
        <v>46175</v>
      </c>
      <c r="H7" s="16">
        <v>8313</v>
      </c>
      <c r="I7" s="3" t="s">
        <v>37</v>
      </c>
      <c r="J7" s="5" t="s">
        <v>38</v>
      </c>
      <c r="K7" s="5" t="s">
        <v>38</v>
      </c>
      <c r="L7" s="3"/>
      <c r="M7" s="17" t="s">
        <v>151</v>
      </c>
      <c r="N7" s="18">
        <v>8313</v>
      </c>
      <c r="O7" s="17" t="s">
        <v>31</v>
      </c>
      <c r="P7" s="19">
        <f t="shared" si="0"/>
        <v>1</v>
      </c>
      <c r="Q7" s="19">
        <v>0.02</v>
      </c>
      <c r="R7" s="20" t="s">
        <v>40</v>
      </c>
      <c r="S7" s="17" t="s">
        <v>250</v>
      </c>
      <c r="T7" s="17"/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140</v>
      </c>
      <c r="B8" s="16">
        <v>188000</v>
      </c>
      <c r="C8" s="24">
        <v>0.64</v>
      </c>
      <c r="D8" s="3"/>
      <c r="E8" s="15">
        <v>3</v>
      </c>
      <c r="F8" s="3">
        <v>9</v>
      </c>
      <c r="G8" s="2">
        <v>46174</v>
      </c>
      <c r="H8" s="16">
        <v>7541</v>
      </c>
      <c r="I8" s="3" t="s">
        <v>42</v>
      </c>
      <c r="J8" s="5" t="s">
        <v>43</v>
      </c>
      <c r="K8" s="5" t="s">
        <v>43</v>
      </c>
      <c r="L8" s="3"/>
      <c r="M8" s="3" t="s">
        <v>251</v>
      </c>
      <c r="N8" s="18">
        <v>7314</v>
      </c>
      <c r="O8" s="17" t="s">
        <v>31</v>
      </c>
      <c r="P8" s="19">
        <f t="shared" si="0"/>
        <v>0.96989789152632278</v>
      </c>
      <c r="Q8" s="19">
        <v>0.01</v>
      </c>
      <c r="R8" s="20" t="s">
        <v>252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15">
        <v>4</v>
      </c>
      <c r="F9" s="3">
        <v>8</v>
      </c>
      <c r="G9" s="2">
        <v>46173</v>
      </c>
      <c r="H9" s="16">
        <v>9303</v>
      </c>
      <c r="I9" s="3" t="s">
        <v>154</v>
      </c>
      <c r="J9" s="5" t="s">
        <v>253</v>
      </c>
      <c r="K9" s="5" t="s">
        <v>254</v>
      </c>
      <c r="L9" s="3"/>
      <c r="M9" s="3" t="s">
        <v>255</v>
      </c>
      <c r="N9" s="18">
        <v>7800</v>
      </c>
      <c r="O9" s="17" t="s">
        <v>31</v>
      </c>
      <c r="P9" s="19">
        <f t="shared" si="0"/>
        <v>0.83843921315704606</v>
      </c>
      <c r="Q9" s="19">
        <v>0.02</v>
      </c>
      <c r="R9" s="20" t="s">
        <v>40</v>
      </c>
      <c r="S9" s="17" t="s">
        <v>51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15">
        <v>5</v>
      </c>
      <c r="F10" s="3">
        <v>7</v>
      </c>
      <c r="G10" s="2">
        <v>46172</v>
      </c>
      <c r="H10" s="16">
        <v>8595</v>
      </c>
      <c r="I10" s="3" t="s">
        <v>212</v>
      </c>
      <c r="J10" s="5" t="s">
        <v>256</v>
      </c>
      <c r="K10" s="5" t="s">
        <v>257</v>
      </c>
      <c r="L10" s="3"/>
      <c r="M10" s="3"/>
      <c r="N10" s="18">
        <v>6400</v>
      </c>
      <c r="O10" s="17" t="s">
        <v>31</v>
      </c>
      <c r="P10" s="19">
        <f t="shared" si="0"/>
        <v>0.74461896451425247</v>
      </c>
      <c r="Q10" s="19">
        <v>0.01</v>
      </c>
      <c r="R10" s="20" t="s">
        <v>258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0.88</v>
      </c>
      <c r="B11" s="16">
        <v>98000</v>
      </c>
      <c r="C11" s="8"/>
      <c r="D11" s="3"/>
      <c r="E11" s="15">
        <v>6</v>
      </c>
      <c r="F11" s="3">
        <v>6</v>
      </c>
      <c r="G11" s="2">
        <v>46171</v>
      </c>
      <c r="H11" s="16">
        <v>8058</v>
      </c>
      <c r="I11" s="3" t="s">
        <v>47</v>
      </c>
      <c r="J11" s="5" t="s">
        <v>259</v>
      </c>
      <c r="K11" s="5" t="s">
        <v>260</v>
      </c>
      <c r="L11" s="3"/>
      <c r="M11" s="3"/>
      <c r="N11" s="18">
        <v>6000</v>
      </c>
      <c r="O11" s="17" t="s">
        <v>31</v>
      </c>
      <c r="P11" s="19">
        <f t="shared" si="0"/>
        <v>0.74460163812360391</v>
      </c>
      <c r="Q11" s="19">
        <v>0.01</v>
      </c>
      <c r="R11" s="20" t="s">
        <v>261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15">
        <v>9</v>
      </c>
      <c r="F12" s="3">
        <v>5</v>
      </c>
      <c r="G12" s="2">
        <v>46168</v>
      </c>
      <c r="H12" s="16">
        <v>7241</v>
      </c>
      <c r="I12" s="3" t="s">
        <v>64</v>
      </c>
      <c r="J12" s="5" t="s">
        <v>221</v>
      </c>
      <c r="K12" s="5" t="s">
        <v>71</v>
      </c>
      <c r="L12" s="3"/>
      <c r="M12" s="25" t="s">
        <v>57</v>
      </c>
      <c r="N12" s="18">
        <v>5500</v>
      </c>
      <c r="O12" s="17" t="s">
        <v>31</v>
      </c>
      <c r="P12" s="19">
        <f t="shared" si="0"/>
        <v>0.75956359618837177</v>
      </c>
      <c r="Q12" s="19">
        <v>0.01</v>
      </c>
      <c r="R12" s="20" t="s">
        <v>262</v>
      </c>
      <c r="S12" s="17"/>
      <c r="T12" s="17"/>
      <c r="U12" s="17">
        <v>1</v>
      </c>
      <c r="V12" s="17">
        <v>1</v>
      </c>
      <c r="W12" s="17"/>
      <c r="X12" s="17" t="s">
        <v>63</v>
      </c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13728750</v>
      </c>
      <c r="D13" s="3"/>
      <c r="E13" s="15">
        <v>10</v>
      </c>
      <c r="F13" s="3">
        <v>4</v>
      </c>
      <c r="G13" s="2">
        <v>46167</v>
      </c>
      <c r="H13" s="16">
        <v>7747</v>
      </c>
      <c r="I13" s="3" t="s">
        <v>69</v>
      </c>
      <c r="J13" s="5" t="s">
        <v>221</v>
      </c>
      <c r="K13" s="5" t="s">
        <v>71</v>
      </c>
      <c r="L13" s="3"/>
      <c r="M13" s="25" t="s">
        <v>57</v>
      </c>
      <c r="N13" s="18">
        <v>6500</v>
      </c>
      <c r="O13" s="17" t="s">
        <v>31</v>
      </c>
      <c r="P13" s="19">
        <f t="shared" si="0"/>
        <v>0.83903446495417577</v>
      </c>
      <c r="Q13" s="19"/>
      <c r="R13" s="20" t="s">
        <v>263</v>
      </c>
      <c r="S13" s="17"/>
      <c r="T13" s="17"/>
      <c r="U13" s="17">
        <v>1</v>
      </c>
      <c r="V13" s="17">
        <v>1</v>
      </c>
      <c r="W13" s="17"/>
      <c r="X13" s="17"/>
      <c r="Y13" s="17" t="s">
        <v>73</v>
      </c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10140000</v>
      </c>
      <c r="D14" s="3"/>
      <c r="E14" s="15">
        <v>11</v>
      </c>
      <c r="F14" s="3">
        <v>3</v>
      </c>
      <c r="G14" s="2">
        <v>46166</v>
      </c>
      <c r="H14" s="16">
        <v>8493</v>
      </c>
      <c r="I14" s="3" t="s">
        <v>169</v>
      </c>
      <c r="J14" s="5"/>
      <c r="K14" s="5"/>
      <c r="L14" s="3"/>
      <c r="M14" s="25" t="s">
        <v>170</v>
      </c>
      <c r="N14" s="18">
        <v>6642</v>
      </c>
      <c r="O14" s="17" t="s">
        <v>31</v>
      </c>
      <c r="P14" s="19">
        <f t="shared" si="0"/>
        <v>0.78205581066760865</v>
      </c>
      <c r="Q14" s="19">
        <v>0.01</v>
      </c>
      <c r="R14" s="20" t="s">
        <v>264</v>
      </c>
      <c r="S14" s="17"/>
      <c r="T14" s="17"/>
      <c r="U14" s="17"/>
      <c r="V14" s="17"/>
      <c r="W14" s="17"/>
      <c r="X14" s="17" t="s">
        <v>172</v>
      </c>
      <c r="Y14" s="17"/>
      <c r="Z14" s="17" t="s">
        <v>33</v>
      </c>
      <c r="AA14" s="21"/>
      <c r="AB14" s="22"/>
      <c r="AC14" s="23"/>
      <c r="AD14" s="4"/>
      <c r="AE14" s="4"/>
      <c r="AF14" s="4"/>
      <c r="AG14" s="4"/>
    </row>
    <row r="15" spans="1:33" ht="19.5" customHeight="1" x14ac:dyDescent="0.2">
      <c r="A15" s="40"/>
      <c r="B15" s="3" t="s">
        <v>75</v>
      </c>
      <c r="C15" s="8"/>
      <c r="D15" s="3"/>
      <c r="E15" s="28"/>
      <c r="F15" s="29"/>
      <c r="G15" s="30"/>
      <c r="H15" s="31"/>
      <c r="I15" s="32"/>
      <c r="J15" s="33"/>
      <c r="K15" s="34"/>
      <c r="L15" s="35"/>
      <c r="M15" s="33"/>
      <c r="N15" s="36"/>
      <c r="O15" s="32"/>
      <c r="P15" s="32"/>
      <c r="Q15" s="37"/>
      <c r="R15" s="38"/>
      <c r="S15" s="32"/>
      <c r="T15" s="32"/>
      <c r="U15" s="32"/>
      <c r="V15" s="32"/>
      <c r="W15" s="32"/>
      <c r="X15" s="32"/>
      <c r="Y15" s="32"/>
      <c r="Z15" s="32"/>
      <c r="AA15" s="32"/>
      <c r="AB15" s="39"/>
      <c r="AC15" s="39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3500000</v>
      </c>
      <c r="D16" s="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  <c r="X16" s="42"/>
      <c r="Y16" s="42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108" t="s">
        <v>79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  <c r="S17" s="42"/>
      <c r="T17" s="42"/>
      <c r="U17" s="42"/>
      <c r="V17" s="3"/>
      <c r="W17" s="5"/>
      <c r="X17" s="5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3" t="s">
        <v>4</v>
      </c>
      <c r="F18" s="43" t="s">
        <v>20</v>
      </c>
      <c r="G18" s="43" t="s">
        <v>21</v>
      </c>
      <c r="H18" s="43" t="s">
        <v>8</v>
      </c>
      <c r="I18" s="43" t="s">
        <v>81</v>
      </c>
      <c r="J18" s="43" t="s">
        <v>22</v>
      </c>
      <c r="K18" s="43" t="s">
        <v>10</v>
      </c>
      <c r="L18" s="43" t="s">
        <v>82</v>
      </c>
      <c r="M18" s="43" t="s">
        <v>12</v>
      </c>
      <c r="N18" s="43" t="s">
        <v>83</v>
      </c>
      <c r="O18" s="43" t="s">
        <v>84</v>
      </c>
      <c r="P18" s="43" t="s">
        <v>85</v>
      </c>
      <c r="Q18" s="43" t="s">
        <v>86</v>
      </c>
      <c r="R18" s="43" t="s">
        <v>87</v>
      </c>
      <c r="S18" s="42"/>
      <c r="T18" s="42"/>
      <c r="U18" s="42"/>
      <c r="V18" s="3"/>
      <c r="W18" s="5"/>
      <c r="X18" s="5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14"/>
      <c r="E19" s="44">
        <v>11</v>
      </c>
      <c r="F19" s="44">
        <v>4</v>
      </c>
      <c r="G19" s="45">
        <v>46176</v>
      </c>
      <c r="H19" s="46">
        <v>4688</v>
      </c>
      <c r="I19" s="46">
        <v>4219</v>
      </c>
      <c r="J19" s="44" t="s">
        <v>169</v>
      </c>
      <c r="K19" s="47">
        <v>0.78</v>
      </c>
      <c r="L19" s="48"/>
      <c r="M19" s="49"/>
      <c r="N19" s="50" t="s">
        <v>265</v>
      </c>
      <c r="O19" s="44" t="s">
        <v>266</v>
      </c>
      <c r="P19" s="46"/>
      <c r="Q19" s="51"/>
      <c r="R19" s="46" t="s">
        <v>267</v>
      </c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12</v>
      </c>
      <c r="F20" s="44">
        <v>3</v>
      </c>
      <c r="G20" s="45">
        <v>46175</v>
      </c>
      <c r="H20" s="46">
        <v>5604</v>
      </c>
      <c r="I20" s="46">
        <v>5043</v>
      </c>
      <c r="J20" s="44" t="s">
        <v>226</v>
      </c>
      <c r="K20" s="47">
        <v>0.7</v>
      </c>
      <c r="L20" s="48">
        <v>0.01</v>
      </c>
      <c r="M20" s="49" t="s">
        <v>268</v>
      </c>
      <c r="N20" s="50" t="s">
        <v>90</v>
      </c>
      <c r="O20" s="44" t="s">
        <v>269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13</v>
      </c>
      <c r="F21" s="44">
        <v>2</v>
      </c>
      <c r="G21" s="45">
        <v>46174</v>
      </c>
      <c r="H21" s="46">
        <v>4057</v>
      </c>
      <c r="I21" s="46">
        <v>3651</v>
      </c>
      <c r="J21" s="44" t="s">
        <v>88</v>
      </c>
      <c r="K21" s="47">
        <v>0.86</v>
      </c>
      <c r="L21" s="48">
        <v>0.01</v>
      </c>
      <c r="M21" s="49" t="s">
        <v>270</v>
      </c>
      <c r="N21" s="50" t="s">
        <v>271</v>
      </c>
      <c r="O21" s="44" t="s">
        <v>272</v>
      </c>
      <c r="P21" s="46"/>
      <c r="Q21" s="51"/>
      <c r="R21" s="46"/>
      <c r="S21" s="16" t="s">
        <v>101</v>
      </c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13</v>
      </c>
      <c r="F22" s="44">
        <v>1</v>
      </c>
      <c r="G22" s="45">
        <v>46174</v>
      </c>
      <c r="H22" s="46">
        <v>4066</v>
      </c>
      <c r="I22" s="46">
        <v>3659</v>
      </c>
      <c r="J22" s="44" t="s">
        <v>88</v>
      </c>
      <c r="K22" s="47">
        <v>0.86</v>
      </c>
      <c r="L22" s="48"/>
      <c r="M22" s="49" t="s">
        <v>273</v>
      </c>
      <c r="N22" s="50" t="s">
        <v>274</v>
      </c>
      <c r="O22" s="50" t="s">
        <v>275</v>
      </c>
      <c r="P22" s="46"/>
      <c r="Q22" s="51"/>
      <c r="R22" s="46"/>
      <c r="S22" s="3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16</v>
      </c>
      <c r="F23" s="44">
        <v>15</v>
      </c>
      <c r="G23" s="45">
        <v>46171</v>
      </c>
      <c r="H23" s="46">
        <v>4463</v>
      </c>
      <c r="I23" s="46">
        <v>4017</v>
      </c>
      <c r="J23" s="44" t="s">
        <v>102</v>
      </c>
      <c r="K23" s="47">
        <v>0.56000000000000005</v>
      </c>
      <c r="L23" s="48"/>
      <c r="M23" s="49" t="s">
        <v>276</v>
      </c>
      <c r="N23" s="50" t="s">
        <v>277</v>
      </c>
      <c r="O23" s="50" t="s">
        <v>278</v>
      </c>
      <c r="P23" s="46"/>
      <c r="Q23" s="51"/>
      <c r="R23" s="46"/>
      <c r="S23" s="3"/>
      <c r="T23" s="3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17</v>
      </c>
      <c r="F24" s="44">
        <v>14</v>
      </c>
      <c r="G24" s="45">
        <v>46170</v>
      </c>
      <c r="H24" s="46">
        <v>3686</v>
      </c>
      <c r="I24" s="46">
        <v>3317</v>
      </c>
      <c r="J24" s="44" t="s">
        <v>107</v>
      </c>
      <c r="K24" s="47">
        <v>0.49</v>
      </c>
      <c r="L24" s="48"/>
      <c r="M24" s="49" t="s">
        <v>279</v>
      </c>
      <c r="N24" s="50" t="s">
        <v>280</v>
      </c>
      <c r="O24" s="50" t="s">
        <v>281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18</v>
      </c>
      <c r="F25" s="44">
        <v>12</v>
      </c>
      <c r="G25" s="45">
        <v>46169</v>
      </c>
      <c r="H25" s="46">
        <v>3183</v>
      </c>
      <c r="I25" s="46">
        <v>2864</v>
      </c>
      <c r="J25" s="44" t="s">
        <v>282</v>
      </c>
      <c r="K25" s="47">
        <v>0.65</v>
      </c>
      <c r="L25" s="48"/>
      <c r="M25" s="49" t="s">
        <v>283</v>
      </c>
      <c r="N25" s="50" t="s">
        <v>284</v>
      </c>
      <c r="O25" s="50" t="s">
        <v>285</v>
      </c>
      <c r="P25" s="46"/>
      <c r="Q25" s="51"/>
      <c r="R25" s="46"/>
      <c r="S25" s="16"/>
      <c r="T25" s="53"/>
      <c r="U25" s="54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M26" s="4"/>
      <c r="N26" s="4"/>
      <c r="O26" s="4"/>
      <c r="P26" s="4"/>
      <c r="Q26" s="4"/>
      <c r="R26" s="4"/>
      <c r="S26" s="16"/>
      <c r="T26" s="54"/>
      <c r="U26" s="57"/>
      <c r="V26" s="4"/>
      <c r="W26" s="4"/>
      <c r="X26" s="4"/>
      <c r="Y26" s="4"/>
      <c r="Z26" s="4"/>
      <c r="AA26" s="4"/>
      <c r="AB26" s="4"/>
      <c r="AE26" s="4"/>
      <c r="AF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55" t="s">
        <v>110</v>
      </c>
      <c r="I28" s="56" t="s">
        <v>76</v>
      </c>
      <c r="J28" s="105" t="s">
        <v>111</v>
      </c>
      <c r="K28" s="106"/>
      <c r="L28" s="107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D28" s="4"/>
      <c r="AE28" s="4"/>
    </row>
    <row r="29" spans="1:33" ht="19.5" customHeight="1" x14ac:dyDescent="0.2">
      <c r="A29" s="15"/>
      <c r="B29" s="3" t="s">
        <v>77</v>
      </c>
      <c r="C29" s="27"/>
      <c r="D29" s="14"/>
      <c r="E29" s="58" t="s">
        <v>112</v>
      </c>
      <c r="G29" s="3" t="s">
        <v>286</v>
      </c>
      <c r="H29" s="4"/>
      <c r="I29" s="3"/>
      <c r="J29" s="59" t="s">
        <v>114</v>
      </c>
      <c r="K29" s="59" t="s">
        <v>115</v>
      </c>
      <c r="L29" s="59" t="s">
        <v>116</v>
      </c>
      <c r="M29" s="4"/>
      <c r="N29" s="4"/>
      <c r="O29" s="4"/>
      <c r="P29" s="4"/>
      <c r="Q29" s="4"/>
      <c r="R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3"/>
      <c r="F30" s="55"/>
      <c r="G30" s="3"/>
      <c r="H30" s="3"/>
      <c r="I30" s="3"/>
      <c r="J30" s="3" t="s">
        <v>117</v>
      </c>
      <c r="K30" s="53"/>
      <c r="L30" s="53">
        <v>0.05</v>
      </c>
      <c r="M30" s="4"/>
      <c r="N30" s="4"/>
      <c r="O30" s="4"/>
      <c r="P30" s="4"/>
      <c r="Q30" s="4"/>
      <c r="R30" s="4"/>
      <c r="S30" s="3"/>
      <c r="T30" s="5"/>
      <c r="U30" s="4"/>
      <c r="V30" s="4"/>
      <c r="W30" s="4"/>
      <c r="X30" s="4"/>
      <c r="Y30" s="4"/>
      <c r="Z30" s="4"/>
      <c r="AA30" s="4"/>
      <c r="AB30" s="4"/>
    </row>
    <row r="31" spans="1:33" ht="19.5" customHeight="1" x14ac:dyDescent="0.2">
      <c r="A31" s="6" t="s">
        <v>3</v>
      </c>
      <c r="B31" s="3"/>
      <c r="C31" s="8"/>
      <c r="D31" s="14"/>
      <c r="E31" s="3" t="s">
        <v>118</v>
      </c>
      <c r="F31" s="3"/>
      <c r="H31" s="3"/>
      <c r="I31" s="3"/>
      <c r="J31" s="3"/>
      <c r="K31" s="4"/>
      <c r="L31" s="53"/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AD31" s="4"/>
      <c r="AE31" s="4"/>
    </row>
    <row r="32" spans="1:33" ht="19.5" customHeight="1" x14ac:dyDescent="0.2">
      <c r="A32" s="14"/>
      <c r="B32" s="3"/>
      <c r="C32" s="8"/>
      <c r="D32" s="14"/>
      <c r="E32" s="17" t="s">
        <v>119</v>
      </c>
      <c r="F32" s="3">
        <v>0</v>
      </c>
      <c r="G32" s="3"/>
      <c r="H32" s="3"/>
      <c r="I32" s="3"/>
      <c r="J32" s="3" t="s">
        <v>120</v>
      </c>
      <c r="K32" s="53"/>
      <c r="L32" s="53">
        <v>0.05</v>
      </c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122</v>
      </c>
      <c r="F33" s="3">
        <v>0</v>
      </c>
      <c r="G33" s="3"/>
      <c r="H33" s="5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"/>
      <c r="F34" s="3"/>
      <c r="G34" s="3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5" t="s">
        <v>123</v>
      </c>
      <c r="F35" s="3"/>
      <c r="G35" s="3"/>
      <c r="H35" s="53"/>
      <c r="I35" s="3"/>
      <c r="J35" s="3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61" t="s">
        <v>124</v>
      </c>
      <c r="F36" s="3">
        <v>0</v>
      </c>
      <c r="G36" s="3"/>
      <c r="H36" s="3"/>
      <c r="I36" s="3"/>
      <c r="J36" s="62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125</v>
      </c>
      <c r="F37" s="3">
        <v>0</v>
      </c>
      <c r="G37" s="3"/>
      <c r="H37" s="3"/>
      <c r="I37" s="3"/>
      <c r="J37" s="63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3"/>
      <c r="F38" s="3"/>
      <c r="G38" s="3"/>
      <c r="H38" s="3"/>
      <c r="I38" s="3"/>
      <c r="J38" s="64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126</v>
      </c>
      <c r="F39" s="55"/>
      <c r="G39" s="3"/>
      <c r="H39" s="3"/>
      <c r="J39" s="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5" t="s">
        <v>20</v>
      </c>
      <c r="F40" s="65" t="s">
        <v>127</v>
      </c>
      <c r="G40" s="65" t="s">
        <v>128</v>
      </c>
      <c r="H40" s="65" t="s">
        <v>129</v>
      </c>
      <c r="I40" s="65" t="s">
        <v>87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66" t="s">
        <v>287</v>
      </c>
      <c r="F41" s="67">
        <v>1440</v>
      </c>
      <c r="G41" s="68">
        <v>0</v>
      </c>
      <c r="H41" s="69" t="s">
        <v>131</v>
      </c>
      <c r="I41" s="68"/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  <c r="AD41" s="4"/>
      <c r="AE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288</v>
      </c>
      <c r="F42" s="67">
        <v>270</v>
      </c>
      <c r="G42" s="68">
        <v>0</v>
      </c>
      <c r="H42" s="69" t="s">
        <v>131</v>
      </c>
      <c r="I42" s="68" t="s">
        <v>133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3"/>
      <c r="E43" s="70" t="s">
        <v>289</v>
      </c>
      <c r="F43" s="67">
        <v>285</v>
      </c>
      <c r="G43" s="68">
        <v>0</v>
      </c>
      <c r="H43" s="69" t="s">
        <v>131</v>
      </c>
      <c r="I43" s="68" t="s">
        <v>290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14"/>
      <c r="E44" s="66" t="s">
        <v>291</v>
      </c>
      <c r="F44" s="71">
        <v>640</v>
      </c>
      <c r="G44" s="72"/>
      <c r="H44" s="69" t="s">
        <v>131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292</v>
      </c>
      <c r="F45" s="71">
        <v>153</v>
      </c>
      <c r="G45" s="72"/>
      <c r="H45" s="69" t="s">
        <v>131</v>
      </c>
      <c r="I45" s="68" t="s">
        <v>293</v>
      </c>
      <c r="J45" s="4"/>
      <c r="K45" s="4"/>
      <c r="L45" s="4"/>
      <c r="M45" s="73"/>
      <c r="N45" s="18"/>
      <c r="O45" s="18"/>
      <c r="P45" s="17"/>
      <c r="Q45" s="74"/>
      <c r="R45" s="53"/>
      <c r="S45" s="4"/>
      <c r="T45" s="4"/>
      <c r="U45" s="3"/>
      <c r="V45" s="3"/>
      <c r="W45" s="3"/>
      <c r="X45" s="5"/>
      <c r="Y45" s="5"/>
      <c r="Z45" s="5"/>
      <c r="AA45" s="4"/>
      <c r="AB45" s="4"/>
      <c r="AC45" s="4"/>
      <c r="AD45" s="4"/>
      <c r="AE45" s="4"/>
    </row>
    <row r="46" spans="1:31" ht="18.7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294</v>
      </c>
      <c r="F46" s="71">
        <v>168</v>
      </c>
      <c r="G46" s="72"/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/>
      <c r="F48" s="4" t="s">
        <v>140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9.5" customHeight="1" x14ac:dyDescent="0.2">
      <c r="A49" s="17" t="s">
        <v>52</v>
      </c>
      <c r="B49" s="17" t="s">
        <v>53</v>
      </c>
      <c r="C49" s="8"/>
      <c r="D49" s="14"/>
      <c r="E49" s="70"/>
      <c r="F49" s="4" t="s">
        <v>141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E49" s="4"/>
    </row>
    <row r="50" spans="1:33" ht="19.5" customHeight="1" x14ac:dyDescent="0.2">
      <c r="A50" s="3"/>
      <c r="B50" s="16"/>
      <c r="C50" s="8"/>
      <c r="D50" s="14"/>
      <c r="E50" s="75"/>
      <c r="F50" s="4" t="s">
        <v>142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6"/>
      <c r="F51" s="4" t="s">
        <v>143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D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5"/>
      <c r="U52" s="3"/>
      <c r="V52" s="3"/>
      <c r="W52" s="3"/>
      <c r="X52" s="3"/>
      <c r="Y52" s="5"/>
      <c r="Z52" s="5"/>
      <c r="AA52" s="4"/>
      <c r="AB52" s="4"/>
      <c r="AC52" s="4"/>
      <c r="AD52" s="4"/>
      <c r="AE52" s="4"/>
    </row>
    <row r="53" spans="1:33" ht="19.5" customHeight="1" x14ac:dyDescent="0.2">
      <c r="A53" s="60"/>
      <c r="B53" s="3" t="s">
        <v>74</v>
      </c>
      <c r="C53" s="8"/>
      <c r="D53" s="3"/>
      <c r="M53" s="4"/>
      <c r="N53" s="4"/>
      <c r="O53" s="4"/>
      <c r="P53" s="4"/>
      <c r="Q53" s="4"/>
      <c r="R53" s="4"/>
      <c r="S53" s="4"/>
      <c r="T53" s="77" t="s">
        <v>144</v>
      </c>
      <c r="U53" s="77"/>
      <c r="V53" s="18"/>
      <c r="W53" s="19"/>
      <c r="X53" s="18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  <c r="AF57" s="4"/>
      <c r="AG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3"/>
      <c r="Y66" s="3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8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9.5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5.75" customHeight="1" x14ac:dyDescent="0.2">
      <c r="A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43:C43"/>
    <mergeCell ref="P4:P5"/>
    <mergeCell ref="Q4:Q5"/>
    <mergeCell ref="J28:L28"/>
    <mergeCell ref="R4:R5"/>
    <mergeCell ref="N4:N5"/>
    <mergeCell ref="O4:O5"/>
    <mergeCell ref="A17:C17"/>
    <mergeCell ref="E17:R17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154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15">
        <v>1</v>
      </c>
      <c r="F6" s="3">
        <v>12</v>
      </c>
      <c r="G6" s="2">
        <v>46177</v>
      </c>
      <c r="H6" s="16">
        <v>6783</v>
      </c>
      <c r="I6" s="3" t="s">
        <v>28</v>
      </c>
      <c r="J6" s="5" t="s">
        <v>29</v>
      </c>
      <c r="K6" s="5" t="s">
        <v>295</v>
      </c>
      <c r="L6" s="17">
        <v>0</v>
      </c>
      <c r="M6" s="17"/>
      <c r="N6" s="18">
        <v>6783</v>
      </c>
      <c r="O6" s="17" t="s">
        <v>31</v>
      </c>
      <c r="P6" s="19">
        <f t="shared" ref="P6:P14" si="0">N6/H6</f>
        <v>1</v>
      </c>
      <c r="Q6" s="19">
        <v>0.03</v>
      </c>
      <c r="R6" s="20"/>
      <c r="S6" s="17" t="s">
        <v>201</v>
      </c>
      <c r="T6" s="17"/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15">
        <v>2</v>
      </c>
      <c r="F7" s="3">
        <v>11</v>
      </c>
      <c r="G7" s="2">
        <v>46176</v>
      </c>
      <c r="H7" s="16">
        <v>8265</v>
      </c>
      <c r="I7" s="3" t="s">
        <v>37</v>
      </c>
      <c r="J7" s="5" t="s">
        <v>38</v>
      </c>
      <c r="K7" s="5" t="s">
        <v>38</v>
      </c>
      <c r="L7" s="3"/>
      <c r="M7" s="17" t="s">
        <v>296</v>
      </c>
      <c r="N7" s="18">
        <v>8265</v>
      </c>
      <c r="O7" s="17" t="s">
        <v>31</v>
      </c>
      <c r="P7" s="19">
        <f t="shared" si="0"/>
        <v>1</v>
      </c>
      <c r="Q7" s="19">
        <v>0.02</v>
      </c>
      <c r="R7" s="20"/>
      <c r="S7" s="17" t="s">
        <v>41</v>
      </c>
      <c r="T7" s="17"/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144</v>
      </c>
      <c r="B8" s="16">
        <v>179000</v>
      </c>
      <c r="C8" s="24">
        <v>0.65</v>
      </c>
      <c r="D8" s="3"/>
      <c r="E8" s="15">
        <v>3</v>
      </c>
      <c r="F8" s="3">
        <v>10</v>
      </c>
      <c r="G8" s="2">
        <v>46175</v>
      </c>
      <c r="H8" s="16">
        <v>8313</v>
      </c>
      <c r="I8" s="3" t="s">
        <v>42</v>
      </c>
      <c r="J8" s="5" t="s">
        <v>43</v>
      </c>
      <c r="K8" s="5" t="s">
        <v>43</v>
      </c>
      <c r="L8" s="3"/>
      <c r="M8" s="3" t="s">
        <v>187</v>
      </c>
      <c r="N8" s="18">
        <v>7647</v>
      </c>
      <c r="O8" s="17" t="s">
        <v>31</v>
      </c>
      <c r="P8" s="19">
        <f t="shared" si="0"/>
        <v>0.91988451822446771</v>
      </c>
      <c r="Q8" s="19"/>
      <c r="R8" s="20" t="s">
        <v>297</v>
      </c>
      <c r="S8" s="17" t="s">
        <v>250</v>
      </c>
      <c r="T8" s="17"/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15">
        <v>4</v>
      </c>
      <c r="F9" s="3">
        <v>9</v>
      </c>
      <c r="G9" s="2">
        <v>46174</v>
      </c>
      <c r="H9" s="16">
        <v>7541</v>
      </c>
      <c r="I9" s="3" t="s">
        <v>154</v>
      </c>
      <c r="J9" s="5" t="s">
        <v>298</v>
      </c>
      <c r="K9" s="5" t="s">
        <v>299</v>
      </c>
      <c r="L9" s="3"/>
      <c r="M9" s="3" t="s">
        <v>300</v>
      </c>
      <c r="N9" s="18">
        <v>6875</v>
      </c>
      <c r="O9" s="17" t="s">
        <v>31</v>
      </c>
      <c r="P9" s="19">
        <f t="shared" si="0"/>
        <v>0.91168280068956375</v>
      </c>
      <c r="Q9" s="19">
        <v>0.05</v>
      </c>
      <c r="R9" s="20" t="s">
        <v>301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15">
        <v>5</v>
      </c>
      <c r="F10" s="3">
        <v>8</v>
      </c>
      <c r="G10" s="2">
        <v>46173</v>
      </c>
      <c r="H10" s="16">
        <v>9303</v>
      </c>
      <c r="I10" s="3" t="s">
        <v>212</v>
      </c>
      <c r="J10" s="5" t="s">
        <v>302</v>
      </c>
      <c r="K10" s="5" t="s">
        <v>303</v>
      </c>
      <c r="L10" s="3"/>
      <c r="M10" s="3"/>
      <c r="N10" s="18">
        <v>7300</v>
      </c>
      <c r="O10" s="17" t="s">
        <v>31</v>
      </c>
      <c r="P10" s="19">
        <f t="shared" si="0"/>
        <v>0.78469310974954321</v>
      </c>
      <c r="Q10" s="19">
        <v>0.02</v>
      </c>
      <c r="R10" s="20" t="s">
        <v>45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0.95</v>
      </c>
      <c r="B11" s="16">
        <v>110000</v>
      </c>
      <c r="C11" s="8"/>
      <c r="D11" s="3"/>
      <c r="E11" s="15">
        <v>6</v>
      </c>
      <c r="F11" s="3">
        <v>7</v>
      </c>
      <c r="G11" s="2">
        <v>46172</v>
      </c>
      <c r="H11" s="16">
        <v>8595</v>
      </c>
      <c r="I11" s="3" t="s">
        <v>47</v>
      </c>
      <c r="J11" s="5" t="s">
        <v>304</v>
      </c>
      <c r="K11" s="5" t="s">
        <v>305</v>
      </c>
      <c r="L11" s="3"/>
      <c r="M11" s="3"/>
      <c r="N11" s="18">
        <v>6200</v>
      </c>
      <c r="O11" s="17" t="s">
        <v>31</v>
      </c>
      <c r="P11" s="19">
        <f t="shared" si="0"/>
        <v>0.72134962187318208</v>
      </c>
      <c r="Q11" s="19">
        <v>0.03</v>
      </c>
      <c r="R11" s="20" t="s">
        <v>40</v>
      </c>
      <c r="S11" s="17" t="s">
        <v>51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15">
        <v>7</v>
      </c>
      <c r="F12" s="3">
        <v>6</v>
      </c>
      <c r="G12" s="2">
        <v>46171</v>
      </c>
      <c r="H12" s="16">
        <v>8058</v>
      </c>
      <c r="I12" s="3" t="s">
        <v>54</v>
      </c>
      <c r="J12" s="5" t="s">
        <v>306</v>
      </c>
      <c r="K12" s="5" t="s">
        <v>307</v>
      </c>
      <c r="L12" s="3"/>
      <c r="M12" s="25" t="s">
        <v>57</v>
      </c>
      <c r="N12" s="18">
        <v>6000</v>
      </c>
      <c r="O12" s="17" t="s">
        <v>31</v>
      </c>
      <c r="P12" s="19">
        <f t="shared" si="0"/>
        <v>0.74460163812360391</v>
      </c>
      <c r="Q12" s="19">
        <v>0.01</v>
      </c>
      <c r="R12" s="20" t="s">
        <v>308</v>
      </c>
      <c r="S12" s="17"/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15855000</v>
      </c>
      <c r="D13" s="3"/>
      <c r="E13" s="15">
        <v>10</v>
      </c>
      <c r="F13" s="3">
        <v>5</v>
      </c>
      <c r="G13" s="2">
        <v>46168</v>
      </c>
      <c r="H13" s="16">
        <v>7241</v>
      </c>
      <c r="I13" s="3" t="s">
        <v>69</v>
      </c>
      <c r="J13" s="5"/>
      <c r="K13" s="5"/>
      <c r="L13" s="3"/>
      <c r="M13" s="25" t="s">
        <v>57</v>
      </c>
      <c r="N13" s="18">
        <v>5500</v>
      </c>
      <c r="O13" s="17" t="s">
        <v>31</v>
      </c>
      <c r="P13" s="19">
        <f t="shared" si="0"/>
        <v>0.75956359618837177</v>
      </c>
      <c r="Q13" s="19">
        <v>0.01</v>
      </c>
      <c r="R13" s="20" t="s">
        <v>309</v>
      </c>
      <c r="S13" s="17"/>
      <c r="T13" s="17"/>
      <c r="U13" s="17">
        <v>1</v>
      </c>
      <c r="V13" s="17">
        <v>1</v>
      </c>
      <c r="W13" s="17"/>
      <c r="X13" s="17"/>
      <c r="Y13" s="17" t="s">
        <v>73</v>
      </c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11677500</v>
      </c>
      <c r="D14" s="3"/>
      <c r="E14" s="15">
        <v>11</v>
      </c>
      <c r="F14" s="3">
        <v>4</v>
      </c>
      <c r="G14" s="2">
        <v>46167</v>
      </c>
      <c r="H14" s="16">
        <v>7747</v>
      </c>
      <c r="I14" s="3" t="s">
        <v>169</v>
      </c>
      <c r="J14" s="5"/>
      <c r="K14" s="5"/>
      <c r="L14" s="3"/>
      <c r="M14" s="25" t="s">
        <v>170</v>
      </c>
      <c r="N14" s="18">
        <v>5536</v>
      </c>
      <c r="O14" s="17" t="s">
        <v>31</v>
      </c>
      <c r="P14" s="19">
        <f t="shared" si="0"/>
        <v>0.71459919969020269</v>
      </c>
      <c r="Q14" s="19"/>
      <c r="R14" s="20" t="s">
        <v>310</v>
      </c>
      <c r="S14" s="17"/>
      <c r="T14" s="17"/>
      <c r="U14" s="17"/>
      <c r="V14" s="17"/>
      <c r="W14" s="17"/>
      <c r="X14" s="17" t="s">
        <v>172</v>
      </c>
      <c r="Y14" s="17"/>
      <c r="Z14" s="17" t="s">
        <v>33</v>
      </c>
      <c r="AA14" s="21"/>
      <c r="AB14" s="22"/>
      <c r="AC14" s="23"/>
      <c r="AD14" s="4"/>
      <c r="AE14" s="4"/>
      <c r="AF14" s="4"/>
      <c r="AG14" s="4"/>
    </row>
    <row r="15" spans="1:33" ht="19.5" customHeight="1" x14ac:dyDescent="0.2">
      <c r="A15" s="40"/>
      <c r="B15" s="3" t="s">
        <v>75</v>
      </c>
      <c r="C15" s="8"/>
      <c r="D15" s="3"/>
      <c r="E15" s="28"/>
      <c r="F15" s="29"/>
      <c r="G15" s="30"/>
      <c r="H15" s="31"/>
      <c r="I15" s="32"/>
      <c r="J15" s="33"/>
      <c r="K15" s="34"/>
      <c r="L15" s="35"/>
      <c r="M15" s="33"/>
      <c r="N15" s="36"/>
      <c r="O15" s="32"/>
      <c r="P15" s="32"/>
      <c r="Q15" s="37"/>
      <c r="R15" s="38"/>
      <c r="S15" s="32"/>
      <c r="T15" s="32"/>
      <c r="U15" s="32"/>
      <c r="V15" s="32"/>
      <c r="W15" s="32"/>
      <c r="X15" s="32"/>
      <c r="Y15" s="32"/>
      <c r="Z15" s="32"/>
      <c r="AA15" s="32"/>
      <c r="AB15" s="39"/>
      <c r="AC15" s="39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4000000</v>
      </c>
      <c r="D16" s="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  <c r="X16" s="42"/>
      <c r="Y16" s="42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108" t="s">
        <v>79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  <c r="S17" s="42"/>
      <c r="T17" s="42"/>
      <c r="U17" s="42"/>
      <c r="V17" s="3"/>
      <c r="W17" s="5"/>
      <c r="X17" s="5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3" t="s">
        <v>4</v>
      </c>
      <c r="F18" s="43" t="s">
        <v>20</v>
      </c>
      <c r="G18" s="43" t="s">
        <v>21</v>
      </c>
      <c r="H18" s="43" t="s">
        <v>8</v>
      </c>
      <c r="I18" s="43" t="s">
        <v>81</v>
      </c>
      <c r="J18" s="43" t="s">
        <v>22</v>
      </c>
      <c r="K18" s="43" t="s">
        <v>10</v>
      </c>
      <c r="L18" s="43" t="s">
        <v>82</v>
      </c>
      <c r="M18" s="43" t="s">
        <v>12</v>
      </c>
      <c r="N18" s="43" t="s">
        <v>83</v>
      </c>
      <c r="O18" s="43" t="s">
        <v>84</v>
      </c>
      <c r="P18" s="43" t="s">
        <v>85</v>
      </c>
      <c r="Q18" s="43" t="s">
        <v>86</v>
      </c>
      <c r="R18" s="43" t="s">
        <v>87</v>
      </c>
      <c r="S18" s="42"/>
      <c r="T18" s="42"/>
      <c r="U18" s="42"/>
      <c r="V18" s="3"/>
      <c r="W18" s="5"/>
      <c r="X18" s="5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14"/>
      <c r="E19" s="44">
        <v>11</v>
      </c>
      <c r="F19" s="44">
        <v>5</v>
      </c>
      <c r="G19" s="45">
        <v>46177</v>
      </c>
      <c r="H19" s="46">
        <v>2876</v>
      </c>
      <c r="I19" s="46">
        <v>2588</v>
      </c>
      <c r="J19" s="44" t="s">
        <v>169</v>
      </c>
      <c r="K19" s="47">
        <v>0.71</v>
      </c>
      <c r="L19" s="48"/>
      <c r="M19" s="49"/>
      <c r="N19" s="50" t="s">
        <v>173</v>
      </c>
      <c r="O19" s="44" t="s">
        <v>311</v>
      </c>
      <c r="P19" s="46"/>
      <c r="Q19" s="51"/>
      <c r="R19" s="46" t="s">
        <v>312</v>
      </c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12</v>
      </c>
      <c r="F20" s="44">
        <v>4</v>
      </c>
      <c r="G20" s="45">
        <v>46176</v>
      </c>
      <c r="H20" s="46">
        <v>4688</v>
      </c>
      <c r="I20" s="46">
        <v>4219</v>
      </c>
      <c r="J20" s="44" t="s">
        <v>226</v>
      </c>
      <c r="K20" s="47">
        <v>0.78</v>
      </c>
      <c r="L20" s="48">
        <v>0.02</v>
      </c>
      <c r="M20" s="49" t="s">
        <v>313</v>
      </c>
      <c r="N20" s="50" t="s">
        <v>314</v>
      </c>
      <c r="O20" s="44" t="s">
        <v>315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13</v>
      </c>
      <c r="F21" s="44">
        <v>3</v>
      </c>
      <c r="G21" s="45">
        <v>46175</v>
      </c>
      <c r="H21" s="46">
        <v>5604</v>
      </c>
      <c r="I21" s="46">
        <v>5043</v>
      </c>
      <c r="J21" s="44" t="s">
        <v>88</v>
      </c>
      <c r="K21" s="47">
        <v>0.7</v>
      </c>
      <c r="L21" s="48">
        <v>0.01</v>
      </c>
      <c r="M21" s="49" t="s">
        <v>316</v>
      </c>
      <c r="N21" s="50" t="s">
        <v>317</v>
      </c>
      <c r="O21" s="44" t="s">
        <v>318</v>
      </c>
      <c r="P21" s="46"/>
      <c r="Q21" s="51"/>
      <c r="R21" s="46"/>
      <c r="S21" s="16" t="s">
        <v>101</v>
      </c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14</v>
      </c>
      <c r="F22" s="44">
        <v>2</v>
      </c>
      <c r="G22" s="45">
        <v>46174</v>
      </c>
      <c r="H22" s="46">
        <v>4057</v>
      </c>
      <c r="I22" s="46">
        <v>3651</v>
      </c>
      <c r="J22" s="44" t="s">
        <v>92</v>
      </c>
      <c r="K22" s="47">
        <v>0.86</v>
      </c>
      <c r="L22" s="48"/>
      <c r="M22" s="49" t="s">
        <v>319</v>
      </c>
      <c r="N22" s="50" t="s">
        <v>320</v>
      </c>
      <c r="O22" s="44" t="s">
        <v>321</v>
      </c>
      <c r="P22" s="46"/>
      <c r="Q22" s="51"/>
      <c r="R22" s="46"/>
      <c r="S22" s="3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14</v>
      </c>
      <c r="F23" s="44">
        <v>1</v>
      </c>
      <c r="G23" s="45">
        <v>46174</v>
      </c>
      <c r="H23" s="46">
        <v>4066</v>
      </c>
      <c r="I23" s="46">
        <v>3659</v>
      </c>
      <c r="J23" s="44" t="s">
        <v>92</v>
      </c>
      <c r="K23" s="47">
        <v>0.86</v>
      </c>
      <c r="L23" s="48"/>
      <c r="M23" s="49" t="s">
        <v>322</v>
      </c>
      <c r="N23" s="50" t="s">
        <v>323</v>
      </c>
      <c r="O23" s="50" t="s">
        <v>324</v>
      </c>
      <c r="P23" s="46"/>
      <c r="Q23" s="51"/>
      <c r="R23" s="46"/>
      <c r="S23" s="3"/>
      <c r="T23" s="3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17</v>
      </c>
      <c r="F24" s="44">
        <v>15</v>
      </c>
      <c r="G24" s="45">
        <v>46171</v>
      </c>
      <c r="H24" s="46">
        <v>4463</v>
      </c>
      <c r="I24" s="46">
        <v>4017</v>
      </c>
      <c r="J24" s="44" t="s">
        <v>107</v>
      </c>
      <c r="K24" s="47">
        <v>0.56000000000000005</v>
      </c>
      <c r="L24" s="48"/>
      <c r="M24" s="49" t="s">
        <v>325</v>
      </c>
      <c r="N24" s="50" t="s">
        <v>326</v>
      </c>
      <c r="O24" s="50" t="s">
        <v>327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18</v>
      </c>
      <c r="F25" s="44">
        <v>14</v>
      </c>
      <c r="G25" s="45">
        <v>46170</v>
      </c>
      <c r="H25" s="46">
        <v>3686</v>
      </c>
      <c r="I25" s="46">
        <v>3317</v>
      </c>
      <c r="J25" s="44" t="s">
        <v>282</v>
      </c>
      <c r="K25" s="47">
        <v>0.49</v>
      </c>
      <c r="L25" s="48"/>
      <c r="M25" s="49" t="s">
        <v>328</v>
      </c>
      <c r="N25" s="50" t="s">
        <v>329</v>
      </c>
      <c r="O25" s="50" t="s">
        <v>330</v>
      </c>
      <c r="P25" s="46"/>
      <c r="Q25" s="51"/>
      <c r="R25" s="46"/>
      <c r="S25" s="16"/>
      <c r="T25" s="53"/>
      <c r="U25" s="54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19</v>
      </c>
      <c r="F26" s="44">
        <v>12</v>
      </c>
      <c r="G26" s="45">
        <v>46169</v>
      </c>
      <c r="H26" s="46">
        <v>3183</v>
      </c>
      <c r="I26" s="46">
        <v>2864</v>
      </c>
      <c r="J26" s="44" t="s">
        <v>331</v>
      </c>
      <c r="K26" s="47">
        <v>0.65</v>
      </c>
      <c r="L26" s="48"/>
      <c r="M26" s="49" t="s">
        <v>332</v>
      </c>
      <c r="N26" s="50" t="s">
        <v>333</v>
      </c>
      <c r="O26" s="50" t="s">
        <v>334</v>
      </c>
      <c r="P26" s="46">
        <v>1000</v>
      </c>
      <c r="Q26" s="52">
        <f>P26/H26</f>
        <v>0.31416902293433868</v>
      </c>
      <c r="R26" s="46" t="s">
        <v>106</v>
      </c>
      <c r="S26" s="16"/>
      <c r="T26" s="54"/>
      <c r="U26" s="57"/>
      <c r="V26" s="4"/>
      <c r="W26" s="4"/>
      <c r="X26" s="4"/>
      <c r="Y26" s="4"/>
      <c r="Z26" s="4"/>
      <c r="AA26" s="4"/>
      <c r="AB26" s="4"/>
      <c r="AE26" s="4"/>
      <c r="AF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D28" s="4"/>
      <c r="AE28" s="4"/>
    </row>
    <row r="29" spans="1:33" ht="19.5" customHeight="1" x14ac:dyDescent="0.2">
      <c r="A29" s="15"/>
      <c r="B29" s="3" t="s">
        <v>77</v>
      </c>
      <c r="C29" s="27"/>
      <c r="D29" s="14"/>
      <c r="E29" s="55" t="s">
        <v>110</v>
      </c>
      <c r="I29" s="56" t="s">
        <v>76</v>
      </c>
      <c r="J29" s="105" t="s">
        <v>111</v>
      </c>
      <c r="K29" s="106"/>
      <c r="L29" s="107"/>
      <c r="M29" s="4"/>
      <c r="N29" s="4"/>
      <c r="O29" s="4"/>
      <c r="P29" s="4"/>
      <c r="Q29" s="4"/>
      <c r="R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58" t="s">
        <v>112</v>
      </c>
      <c r="G30" s="3" t="s">
        <v>151</v>
      </c>
      <c r="H30" s="4"/>
      <c r="I30" s="3"/>
      <c r="J30" s="59" t="s">
        <v>114</v>
      </c>
      <c r="K30" s="59" t="s">
        <v>115</v>
      </c>
      <c r="L30" s="59" t="s">
        <v>116</v>
      </c>
      <c r="M30" s="4"/>
      <c r="N30" s="4"/>
      <c r="O30" s="4"/>
      <c r="P30" s="4"/>
      <c r="Q30" s="4"/>
      <c r="R30" s="4"/>
      <c r="S30" s="3"/>
      <c r="T30" s="5"/>
      <c r="U30" s="4"/>
      <c r="V30" s="4"/>
      <c r="W30" s="4"/>
      <c r="X30" s="4"/>
      <c r="Y30" s="4"/>
      <c r="Z30" s="4"/>
      <c r="AA30" s="4"/>
      <c r="AB30" s="4"/>
    </row>
    <row r="31" spans="1:33" ht="19.5" customHeight="1" x14ac:dyDescent="0.2">
      <c r="A31" s="6" t="s">
        <v>3</v>
      </c>
      <c r="B31" s="3"/>
      <c r="C31" s="8"/>
      <c r="D31" s="14"/>
      <c r="E31" s="3"/>
      <c r="F31" s="55"/>
      <c r="G31" s="3"/>
      <c r="H31" s="3"/>
      <c r="I31" s="3"/>
      <c r="J31" s="3" t="s">
        <v>117</v>
      </c>
      <c r="K31" s="53"/>
      <c r="L31" s="3" t="s">
        <v>335</v>
      </c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AD31" s="4"/>
      <c r="AE31" s="4"/>
    </row>
    <row r="32" spans="1:33" ht="19.5" customHeight="1" x14ac:dyDescent="0.2">
      <c r="A32" s="14"/>
      <c r="B32" s="3"/>
      <c r="C32" s="8"/>
      <c r="D32" s="14"/>
      <c r="E32" s="3" t="s">
        <v>118</v>
      </c>
      <c r="F32" s="3"/>
      <c r="H32" s="3"/>
      <c r="I32" s="3"/>
      <c r="J32" s="3"/>
      <c r="K32" s="4"/>
      <c r="L32" s="53"/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119</v>
      </c>
      <c r="F33" s="3">
        <v>0</v>
      </c>
      <c r="G33" s="3"/>
      <c r="H33" s="3"/>
      <c r="I33" s="3"/>
      <c r="J33" s="3" t="s">
        <v>120</v>
      </c>
      <c r="K33" s="53"/>
      <c r="L33" s="3" t="s">
        <v>336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17" t="s">
        <v>122</v>
      </c>
      <c r="F34" s="3">
        <v>0</v>
      </c>
      <c r="G34" s="3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"/>
      <c r="F35" s="3"/>
      <c r="G35" s="3"/>
      <c r="H35" s="5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55" t="s">
        <v>123</v>
      </c>
      <c r="F36" s="3"/>
      <c r="G36" s="3"/>
      <c r="H36" s="53"/>
      <c r="I36" s="3"/>
      <c r="J36" s="3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124</v>
      </c>
      <c r="F37" s="3">
        <v>0</v>
      </c>
      <c r="G37" s="3"/>
      <c r="H37" s="3"/>
      <c r="I37" s="3"/>
      <c r="J37" s="62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61" t="s">
        <v>125</v>
      </c>
      <c r="F38" s="3">
        <v>0</v>
      </c>
      <c r="G38" s="3"/>
      <c r="H38" s="3"/>
      <c r="I38" s="3"/>
      <c r="J38" s="63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3"/>
      <c r="F39" s="3"/>
      <c r="G39" s="3"/>
      <c r="H39" s="3"/>
      <c r="I39" s="3"/>
      <c r="J39" s="6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55" t="s">
        <v>126</v>
      </c>
      <c r="F40" s="55"/>
      <c r="G40" s="3"/>
      <c r="H40" s="3"/>
      <c r="J40" s="4"/>
      <c r="K40" s="17"/>
      <c r="L40" s="4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65" t="s">
        <v>20</v>
      </c>
      <c r="F41" s="65" t="s">
        <v>127</v>
      </c>
      <c r="G41" s="65" t="s">
        <v>128</v>
      </c>
      <c r="H41" s="65" t="s">
        <v>129</v>
      </c>
      <c r="I41" s="65" t="s">
        <v>87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  <c r="AD41" s="4"/>
      <c r="AE41" s="4"/>
    </row>
    <row r="42" spans="1:31" ht="19.5" customHeight="1" x14ac:dyDescent="0.2">
      <c r="A42" s="15"/>
      <c r="B42" s="3" t="s">
        <v>77</v>
      </c>
      <c r="C42" s="27"/>
      <c r="D42" s="14"/>
      <c r="E42" s="66" t="s">
        <v>337</v>
      </c>
      <c r="F42" s="67">
        <v>1280</v>
      </c>
      <c r="G42" s="68">
        <v>0</v>
      </c>
      <c r="H42" s="69" t="s">
        <v>131</v>
      </c>
      <c r="I42" s="68"/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3"/>
      <c r="E43" s="70" t="s">
        <v>338</v>
      </c>
      <c r="F43" s="67">
        <v>315</v>
      </c>
      <c r="G43" s="68">
        <v>0</v>
      </c>
      <c r="H43" s="69" t="s">
        <v>131</v>
      </c>
      <c r="I43" s="68" t="s">
        <v>339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14"/>
      <c r="E44" s="70" t="s">
        <v>340</v>
      </c>
      <c r="F44" s="67">
        <v>198</v>
      </c>
      <c r="G44" s="68">
        <v>0</v>
      </c>
      <c r="H44" s="69" t="s">
        <v>131</v>
      </c>
      <c r="I44" s="68" t="s">
        <v>290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341</v>
      </c>
      <c r="F45" s="71">
        <v>480</v>
      </c>
      <c r="G45" s="72"/>
      <c r="H45" s="69" t="s">
        <v>131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5"/>
      <c r="Y45" s="5"/>
      <c r="Z45" s="5"/>
      <c r="AA45" s="4"/>
      <c r="AB45" s="4"/>
      <c r="AC45" s="4"/>
      <c r="AD45" s="4"/>
      <c r="AE45" s="4"/>
    </row>
    <row r="46" spans="1:31" ht="18.7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342</v>
      </c>
      <c r="F46" s="71">
        <v>145</v>
      </c>
      <c r="G46" s="72"/>
      <c r="H46" s="69" t="s">
        <v>131</v>
      </c>
      <c r="I46" s="68" t="s">
        <v>343</v>
      </c>
      <c r="J46" s="4"/>
      <c r="K46" s="4"/>
      <c r="L46" s="4"/>
      <c r="M46" s="73"/>
      <c r="N46" s="18"/>
      <c r="O46" s="18"/>
      <c r="P46" s="17"/>
      <c r="Q46" s="74"/>
      <c r="R46" s="53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344</v>
      </c>
      <c r="F47" s="71">
        <v>150</v>
      </c>
      <c r="G47" s="72"/>
      <c r="H47" s="69" t="s">
        <v>131</v>
      </c>
      <c r="I47" s="68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9.5" customHeight="1" x14ac:dyDescent="0.2">
      <c r="A49" s="17" t="s">
        <v>52</v>
      </c>
      <c r="B49" s="17" t="s">
        <v>53</v>
      </c>
      <c r="C49" s="8"/>
      <c r="D49" s="14"/>
      <c r="E49" s="66"/>
      <c r="F49" s="4" t="s">
        <v>140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E49" s="4"/>
    </row>
    <row r="50" spans="1:33" ht="19.5" customHeight="1" x14ac:dyDescent="0.2">
      <c r="A50" s="3"/>
      <c r="B50" s="16"/>
      <c r="C50" s="8"/>
      <c r="D50" s="14"/>
      <c r="E50" s="70"/>
      <c r="F50" s="4" t="s">
        <v>141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5"/>
      <c r="F51" s="4" t="s">
        <v>142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D51" s="4"/>
    </row>
    <row r="52" spans="1:33" ht="19.5" customHeight="1" x14ac:dyDescent="0.2">
      <c r="A52" s="17"/>
      <c r="B52" s="17" t="s">
        <v>68</v>
      </c>
      <c r="C52" s="8"/>
      <c r="D52" s="14"/>
      <c r="E52" s="76"/>
      <c r="F52" s="4" t="s">
        <v>143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3"/>
      <c r="V52" s="3"/>
      <c r="W52" s="3"/>
      <c r="X52" s="3"/>
      <c r="Y52" s="5"/>
      <c r="Z52" s="5"/>
      <c r="AA52" s="4"/>
      <c r="AB52" s="4"/>
      <c r="AC52" s="4"/>
      <c r="AD52" s="4"/>
      <c r="AE52" s="4"/>
    </row>
    <row r="53" spans="1:33" ht="19.5" customHeight="1" x14ac:dyDescent="0.2">
      <c r="A53" s="60"/>
      <c r="B53" s="3" t="s">
        <v>74</v>
      </c>
      <c r="C53" s="8"/>
      <c r="D53" s="3"/>
      <c r="M53" s="4"/>
      <c r="N53" s="4"/>
      <c r="O53" s="4"/>
      <c r="P53" s="4"/>
      <c r="Q53" s="4"/>
      <c r="R53" s="4"/>
      <c r="S53" s="4"/>
      <c r="T53" s="77" t="s">
        <v>144</v>
      </c>
      <c r="U53" s="77"/>
      <c r="V53" s="18"/>
      <c r="W53" s="19"/>
      <c r="X53" s="18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  <c r="AF57" s="4"/>
      <c r="AG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3"/>
      <c r="Y66" s="3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8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9.5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5.75" customHeight="1" x14ac:dyDescent="0.2">
      <c r="A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43:C43"/>
    <mergeCell ref="P4:P5"/>
    <mergeCell ref="Q4:Q5"/>
    <mergeCell ref="J29:L29"/>
    <mergeCell ref="R4:R5"/>
    <mergeCell ref="N4:N5"/>
    <mergeCell ref="O4:O5"/>
    <mergeCell ref="A17:C17"/>
    <mergeCell ref="E17:R17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143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15">
        <v>1</v>
      </c>
      <c r="F6" s="3">
        <v>13</v>
      </c>
      <c r="G6" s="2">
        <v>46178</v>
      </c>
      <c r="H6" s="16">
        <v>8122</v>
      </c>
      <c r="I6" s="3" t="s">
        <v>28</v>
      </c>
      <c r="J6" s="5" t="s">
        <v>29</v>
      </c>
      <c r="K6" s="5" t="s">
        <v>145</v>
      </c>
      <c r="L6" s="17">
        <v>0</v>
      </c>
      <c r="M6" s="17"/>
      <c r="N6" s="18">
        <v>8112</v>
      </c>
      <c r="O6" s="17" t="s">
        <v>31</v>
      </c>
      <c r="P6" s="19">
        <f t="shared" ref="P6:P14" si="0">N6/H6</f>
        <v>0.99876877616350657</v>
      </c>
      <c r="Q6" s="19">
        <v>0.02</v>
      </c>
      <c r="R6" s="20" t="s">
        <v>203</v>
      </c>
      <c r="S6" s="17" t="s">
        <v>201</v>
      </c>
      <c r="T6" s="17">
        <v>1</v>
      </c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15">
        <v>2</v>
      </c>
      <c r="F7" s="3">
        <v>12</v>
      </c>
      <c r="G7" s="2">
        <v>46177</v>
      </c>
      <c r="H7" s="16">
        <v>6783</v>
      </c>
      <c r="I7" s="3" t="s">
        <v>37</v>
      </c>
      <c r="J7" s="5" t="s">
        <v>38</v>
      </c>
      <c r="K7" s="5" t="s">
        <v>38</v>
      </c>
      <c r="L7" s="3"/>
      <c r="M7" s="17" t="s">
        <v>345</v>
      </c>
      <c r="N7" s="18">
        <v>6783</v>
      </c>
      <c r="O7" s="17" t="s">
        <v>31</v>
      </c>
      <c r="P7" s="19">
        <f t="shared" si="0"/>
        <v>1</v>
      </c>
      <c r="Q7" s="19">
        <v>0.01</v>
      </c>
      <c r="R7" s="20" t="s">
        <v>346</v>
      </c>
      <c r="S7" s="17" t="s">
        <v>41</v>
      </c>
      <c r="T7" s="17"/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132</v>
      </c>
      <c r="B8" s="16">
        <v>190000</v>
      </c>
      <c r="C8" s="24">
        <v>0.62</v>
      </c>
      <c r="D8" s="3"/>
      <c r="E8" s="15">
        <v>3</v>
      </c>
      <c r="F8" s="3">
        <v>11</v>
      </c>
      <c r="G8" s="2">
        <v>46176</v>
      </c>
      <c r="H8" s="16">
        <v>8265</v>
      </c>
      <c r="I8" s="3" t="s">
        <v>42</v>
      </c>
      <c r="J8" s="5" t="s">
        <v>43</v>
      </c>
      <c r="K8" s="5" t="s">
        <v>43</v>
      </c>
      <c r="L8" s="3"/>
      <c r="M8" s="3" t="s">
        <v>347</v>
      </c>
      <c r="N8" s="18">
        <v>7521</v>
      </c>
      <c r="O8" s="17" t="s">
        <v>31</v>
      </c>
      <c r="P8" s="19">
        <f t="shared" si="0"/>
        <v>0.90998185117967334</v>
      </c>
      <c r="Q8" s="19">
        <v>0.02</v>
      </c>
      <c r="R8" s="20" t="s">
        <v>348</v>
      </c>
      <c r="S8" s="17" t="s">
        <v>349</v>
      </c>
      <c r="T8" s="17"/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15">
        <v>4</v>
      </c>
      <c r="F9" s="3">
        <v>10</v>
      </c>
      <c r="G9" s="2">
        <v>46175</v>
      </c>
      <c r="H9" s="16">
        <v>8313</v>
      </c>
      <c r="I9" s="3" t="s">
        <v>154</v>
      </c>
      <c r="J9" s="5" t="s">
        <v>156</v>
      </c>
      <c r="K9" s="5" t="s">
        <v>350</v>
      </c>
      <c r="L9" s="3"/>
      <c r="M9" s="3" t="s">
        <v>187</v>
      </c>
      <c r="N9" s="18">
        <v>7264</v>
      </c>
      <c r="O9" s="17" t="s">
        <v>31</v>
      </c>
      <c r="P9" s="19">
        <f t="shared" si="0"/>
        <v>0.8738121015277277</v>
      </c>
      <c r="Q9" s="19"/>
      <c r="R9" s="20" t="s">
        <v>148</v>
      </c>
      <c r="S9" s="17" t="s">
        <v>349</v>
      </c>
      <c r="T9" s="17"/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15">
        <v>5</v>
      </c>
      <c r="F10" s="3">
        <v>9</v>
      </c>
      <c r="G10" s="2">
        <v>46174</v>
      </c>
      <c r="H10" s="16">
        <v>7541</v>
      </c>
      <c r="I10" s="3" t="s">
        <v>212</v>
      </c>
      <c r="J10" s="5" t="s">
        <v>351</v>
      </c>
      <c r="K10" s="5" t="s">
        <v>352</v>
      </c>
      <c r="L10" s="3"/>
      <c r="M10" s="3" t="s">
        <v>353</v>
      </c>
      <c r="N10" s="18">
        <v>6187</v>
      </c>
      <c r="O10" s="17" t="s">
        <v>31</v>
      </c>
      <c r="P10" s="19">
        <f t="shared" si="0"/>
        <v>0.82044821641692078</v>
      </c>
      <c r="Q10" s="19">
        <v>0.1</v>
      </c>
      <c r="R10" s="20" t="s">
        <v>354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0.83</v>
      </c>
      <c r="B11" s="16">
        <v>98000</v>
      </c>
      <c r="C11" s="8"/>
      <c r="D11" s="3"/>
      <c r="E11" s="15">
        <v>6</v>
      </c>
      <c r="F11" s="3">
        <v>8</v>
      </c>
      <c r="G11" s="2">
        <v>46173</v>
      </c>
      <c r="H11" s="16">
        <v>9303</v>
      </c>
      <c r="I11" s="3" t="s">
        <v>47</v>
      </c>
      <c r="J11" s="5" t="s">
        <v>355</v>
      </c>
      <c r="K11" s="5" t="s">
        <v>356</v>
      </c>
      <c r="L11" s="3"/>
      <c r="M11" s="3"/>
      <c r="N11" s="18">
        <v>7264</v>
      </c>
      <c r="O11" s="17" t="s">
        <v>31</v>
      </c>
      <c r="P11" s="19">
        <f t="shared" si="0"/>
        <v>0.78082339030420289</v>
      </c>
      <c r="Q11" s="19"/>
      <c r="R11" s="20" t="s">
        <v>40</v>
      </c>
      <c r="S11" s="17" t="s">
        <v>349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15">
        <v>7</v>
      </c>
      <c r="F12" s="3">
        <v>7</v>
      </c>
      <c r="G12" s="2">
        <v>46172</v>
      </c>
      <c r="H12" s="16">
        <v>8595</v>
      </c>
      <c r="I12" s="3" t="s">
        <v>54</v>
      </c>
      <c r="J12" s="5" t="s">
        <v>357</v>
      </c>
      <c r="K12" s="5" t="s">
        <v>358</v>
      </c>
      <c r="L12" s="3"/>
      <c r="M12" s="25" t="s">
        <v>57</v>
      </c>
      <c r="N12" s="18">
        <v>6000</v>
      </c>
      <c r="O12" s="17" t="s">
        <v>31</v>
      </c>
      <c r="P12" s="19">
        <f t="shared" si="0"/>
        <v>0.69808027923211169</v>
      </c>
      <c r="Q12" s="19"/>
      <c r="R12" s="20" t="s">
        <v>40</v>
      </c>
      <c r="S12" s="17" t="s">
        <v>349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12933750</v>
      </c>
      <c r="D13" s="3"/>
      <c r="E13" s="15">
        <v>8</v>
      </c>
      <c r="F13" s="3">
        <v>6</v>
      </c>
      <c r="G13" s="2">
        <v>46171</v>
      </c>
      <c r="H13" s="16">
        <v>8058</v>
      </c>
      <c r="I13" s="3" t="s">
        <v>59</v>
      </c>
      <c r="J13" s="5" t="s">
        <v>359</v>
      </c>
      <c r="K13" s="5" t="s">
        <v>360</v>
      </c>
      <c r="L13" s="3"/>
      <c r="M13" s="25" t="s">
        <v>57</v>
      </c>
      <c r="N13" s="18">
        <v>6000</v>
      </c>
      <c r="O13" s="17" t="s">
        <v>31</v>
      </c>
      <c r="P13" s="19">
        <f t="shared" si="0"/>
        <v>0.74460163812360391</v>
      </c>
      <c r="Q13" s="19">
        <v>0.01</v>
      </c>
      <c r="R13" s="20" t="s">
        <v>361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10631250</v>
      </c>
      <c r="D14" s="3"/>
      <c r="E14" s="15">
        <v>11</v>
      </c>
      <c r="F14" s="3">
        <v>5</v>
      </c>
      <c r="G14" s="2">
        <v>46168</v>
      </c>
      <c r="H14" s="16">
        <v>7241</v>
      </c>
      <c r="I14" s="3" t="s">
        <v>169</v>
      </c>
      <c r="J14" s="5"/>
      <c r="K14" s="5"/>
      <c r="L14" s="3"/>
      <c r="M14" s="25" t="s">
        <v>170</v>
      </c>
      <c r="N14" s="18">
        <v>5461</v>
      </c>
      <c r="O14" s="17" t="s">
        <v>31</v>
      </c>
      <c r="P14" s="19">
        <f t="shared" si="0"/>
        <v>0.75417759977903609</v>
      </c>
      <c r="Q14" s="19"/>
      <c r="R14" s="20" t="s">
        <v>362</v>
      </c>
      <c r="S14" s="17"/>
      <c r="T14" s="17"/>
      <c r="U14" s="17"/>
      <c r="V14" s="17"/>
      <c r="W14" s="17"/>
      <c r="X14" s="17" t="s">
        <v>172</v>
      </c>
      <c r="Y14" s="17"/>
      <c r="Z14" s="17" t="s">
        <v>33</v>
      </c>
      <c r="AA14" s="21"/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82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4"/>
      <c r="S15" s="84"/>
      <c r="T15" s="84"/>
      <c r="U15" s="84"/>
      <c r="V15" s="84"/>
      <c r="W15" s="84"/>
      <c r="X15" s="84"/>
      <c r="Y15" s="84"/>
      <c r="Z15" s="33"/>
      <c r="AA15" s="33"/>
      <c r="AB15" s="39"/>
      <c r="AC15" s="39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2000000</v>
      </c>
      <c r="D16" s="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  <c r="X16" s="42"/>
      <c r="Y16" s="42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108" t="s">
        <v>79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  <c r="S17" s="42"/>
      <c r="T17" s="42"/>
      <c r="U17" s="42"/>
      <c r="V17" s="3"/>
      <c r="W17" s="5"/>
      <c r="X17" s="5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3" t="s">
        <v>4</v>
      </c>
      <c r="F18" s="43" t="s">
        <v>20</v>
      </c>
      <c r="G18" s="43" t="s">
        <v>21</v>
      </c>
      <c r="H18" s="43" t="s">
        <v>8</v>
      </c>
      <c r="I18" s="43" t="s">
        <v>81</v>
      </c>
      <c r="J18" s="43" t="s">
        <v>22</v>
      </c>
      <c r="K18" s="43" t="s">
        <v>10</v>
      </c>
      <c r="L18" s="43" t="s">
        <v>82</v>
      </c>
      <c r="M18" s="43" t="s">
        <v>12</v>
      </c>
      <c r="N18" s="43" t="s">
        <v>83</v>
      </c>
      <c r="O18" s="43" t="s">
        <v>84</v>
      </c>
      <c r="P18" s="43" t="s">
        <v>85</v>
      </c>
      <c r="Q18" s="43" t="s">
        <v>86</v>
      </c>
      <c r="R18" s="43" t="s">
        <v>87</v>
      </c>
      <c r="S18" s="42"/>
      <c r="T18" s="42"/>
      <c r="U18" s="42"/>
      <c r="V18" s="3"/>
      <c r="W18" s="5"/>
      <c r="X18" s="5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44">
        <v>11</v>
      </c>
      <c r="F19" s="44">
        <v>7</v>
      </c>
      <c r="G19" s="45">
        <v>46178</v>
      </c>
      <c r="H19" s="46">
        <v>3654</v>
      </c>
      <c r="I19" s="46">
        <v>3288</v>
      </c>
      <c r="J19" s="44" t="s">
        <v>169</v>
      </c>
      <c r="K19" s="47">
        <v>0.75</v>
      </c>
      <c r="L19" s="48"/>
      <c r="M19" s="49"/>
      <c r="N19" s="50" t="s">
        <v>363</v>
      </c>
      <c r="O19" s="44" t="s">
        <v>364</v>
      </c>
      <c r="P19" s="46"/>
      <c r="Q19" s="51"/>
      <c r="R19" s="46" t="s">
        <v>365</v>
      </c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12</v>
      </c>
      <c r="F20" s="44">
        <v>5</v>
      </c>
      <c r="G20" s="45">
        <v>46177</v>
      </c>
      <c r="H20" s="46">
        <v>2876</v>
      </c>
      <c r="I20" s="46">
        <v>2588</v>
      </c>
      <c r="J20" s="44" t="s">
        <v>226</v>
      </c>
      <c r="K20" s="47">
        <v>0.71</v>
      </c>
      <c r="L20" s="48"/>
      <c r="M20" s="49" t="s">
        <v>366</v>
      </c>
      <c r="N20" s="50" t="s">
        <v>367</v>
      </c>
      <c r="O20" s="44" t="s">
        <v>368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13</v>
      </c>
      <c r="F21" s="44">
        <v>4</v>
      </c>
      <c r="G21" s="45">
        <v>46176</v>
      </c>
      <c r="H21" s="46">
        <v>4688</v>
      </c>
      <c r="I21" s="46">
        <v>4219</v>
      </c>
      <c r="J21" s="44" t="s">
        <v>88</v>
      </c>
      <c r="K21" s="47">
        <v>0.78</v>
      </c>
      <c r="L21" s="48">
        <v>0.02</v>
      </c>
      <c r="M21" s="49" t="s">
        <v>369</v>
      </c>
      <c r="N21" s="50" t="s">
        <v>370</v>
      </c>
      <c r="O21" s="44" t="s">
        <v>371</v>
      </c>
      <c r="P21" s="46"/>
      <c r="Q21" s="51"/>
      <c r="R21" s="46"/>
      <c r="S21" s="16" t="s">
        <v>101</v>
      </c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14</v>
      </c>
      <c r="F22" s="44">
        <v>3</v>
      </c>
      <c r="G22" s="45">
        <v>46175</v>
      </c>
      <c r="H22" s="46">
        <v>5604</v>
      </c>
      <c r="I22" s="46">
        <v>5043</v>
      </c>
      <c r="J22" s="44" t="s">
        <v>92</v>
      </c>
      <c r="K22" s="47">
        <v>0.7</v>
      </c>
      <c r="L22" s="48"/>
      <c r="M22" s="49" t="s">
        <v>372</v>
      </c>
      <c r="N22" s="50" t="s">
        <v>373</v>
      </c>
      <c r="O22" s="44" t="s">
        <v>374</v>
      </c>
      <c r="P22" s="46"/>
      <c r="Q22" s="51"/>
      <c r="R22" s="46"/>
      <c r="S22" s="3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15</v>
      </c>
      <c r="F23" s="44">
        <v>2</v>
      </c>
      <c r="G23" s="45">
        <v>46174</v>
      </c>
      <c r="H23" s="46">
        <v>4057</v>
      </c>
      <c r="I23" s="46">
        <v>3651</v>
      </c>
      <c r="J23" s="44" t="s">
        <v>96</v>
      </c>
      <c r="K23" s="47">
        <v>0.86</v>
      </c>
      <c r="L23" s="48"/>
      <c r="M23" s="49" t="s">
        <v>375</v>
      </c>
      <c r="N23" s="50" t="s">
        <v>376</v>
      </c>
      <c r="O23" s="44" t="s">
        <v>377</v>
      </c>
      <c r="P23" s="46"/>
      <c r="Q23" s="51"/>
      <c r="R23" s="46"/>
      <c r="S23" s="3"/>
      <c r="T23" s="3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15</v>
      </c>
      <c r="F24" s="44">
        <v>1</v>
      </c>
      <c r="G24" s="45">
        <v>46174</v>
      </c>
      <c r="H24" s="46">
        <v>4066</v>
      </c>
      <c r="I24" s="46">
        <v>3659</v>
      </c>
      <c r="J24" s="44" t="s">
        <v>96</v>
      </c>
      <c r="K24" s="47">
        <v>0.86</v>
      </c>
      <c r="L24" s="48"/>
      <c r="M24" s="49" t="s">
        <v>378</v>
      </c>
      <c r="N24" s="50" t="s">
        <v>379</v>
      </c>
      <c r="O24" s="50" t="s">
        <v>380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18</v>
      </c>
      <c r="F25" s="44">
        <v>15</v>
      </c>
      <c r="G25" s="45">
        <v>46171</v>
      </c>
      <c r="H25" s="46">
        <v>4463</v>
      </c>
      <c r="I25" s="46">
        <v>4017</v>
      </c>
      <c r="J25" s="44" t="s">
        <v>282</v>
      </c>
      <c r="K25" s="47">
        <v>0.56000000000000005</v>
      </c>
      <c r="L25" s="48"/>
      <c r="M25" s="49"/>
      <c r="N25" s="50" t="s">
        <v>381</v>
      </c>
      <c r="O25" s="50" t="s">
        <v>381</v>
      </c>
      <c r="P25" s="46">
        <v>3885</v>
      </c>
      <c r="Q25" s="52">
        <f>P25/H25</f>
        <v>0.8704907013219807</v>
      </c>
      <c r="R25" s="46"/>
      <c r="S25" s="16"/>
      <c r="T25" s="53"/>
      <c r="U25" s="54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19</v>
      </c>
      <c r="F26" s="44">
        <v>14</v>
      </c>
      <c r="G26" s="45">
        <v>46170</v>
      </c>
      <c r="H26" s="46">
        <v>3686</v>
      </c>
      <c r="I26" s="46">
        <v>3317</v>
      </c>
      <c r="J26" s="44" t="s">
        <v>331</v>
      </c>
      <c r="K26" s="47">
        <v>0.49</v>
      </c>
      <c r="L26" s="48"/>
      <c r="M26" s="49" t="s">
        <v>382</v>
      </c>
      <c r="N26" s="50" t="s">
        <v>383</v>
      </c>
      <c r="O26" s="50" t="s">
        <v>384</v>
      </c>
      <c r="P26" s="46"/>
      <c r="Q26" s="51"/>
      <c r="R26" s="46"/>
      <c r="S26" s="16"/>
      <c r="T26" s="54"/>
      <c r="U26" s="57"/>
      <c r="V26" s="4"/>
      <c r="W26" s="4"/>
      <c r="X26" s="4"/>
      <c r="Y26" s="4"/>
      <c r="Z26" s="4"/>
      <c r="AA26" s="4"/>
      <c r="AB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20</v>
      </c>
      <c r="F27" s="44">
        <v>12</v>
      </c>
      <c r="G27" s="45">
        <v>46169</v>
      </c>
      <c r="H27" s="46">
        <v>3183</v>
      </c>
      <c r="I27" s="46">
        <v>2864</v>
      </c>
      <c r="J27" s="44" t="s">
        <v>385</v>
      </c>
      <c r="K27" s="47">
        <v>0.65</v>
      </c>
      <c r="L27" s="48"/>
      <c r="M27" s="49" t="s">
        <v>386</v>
      </c>
      <c r="N27" s="50" t="s">
        <v>387</v>
      </c>
      <c r="O27" s="50" t="s">
        <v>388</v>
      </c>
      <c r="P27" s="46">
        <v>1000</v>
      </c>
      <c r="Q27" s="52">
        <f>P27/H27</f>
        <v>0.31416902293433868</v>
      </c>
      <c r="R27" s="46" t="s">
        <v>106</v>
      </c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M29" s="4"/>
      <c r="N29" s="4"/>
      <c r="O29" s="4"/>
      <c r="P29" s="4"/>
      <c r="Q29" s="4"/>
      <c r="R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55" t="s">
        <v>110</v>
      </c>
      <c r="I30" s="56" t="s">
        <v>76</v>
      </c>
      <c r="J30" s="105" t="s">
        <v>111</v>
      </c>
      <c r="K30" s="106"/>
      <c r="L30" s="107"/>
      <c r="M30" s="4"/>
      <c r="N30" s="4"/>
      <c r="O30" s="4"/>
      <c r="P30" s="4"/>
      <c r="Q30" s="4"/>
      <c r="R30" s="4"/>
      <c r="S30" s="3"/>
      <c r="T30" s="5"/>
      <c r="U30" s="4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58" t="s">
        <v>112</v>
      </c>
      <c r="G31" s="3" t="s">
        <v>151</v>
      </c>
      <c r="H31" s="4"/>
      <c r="I31" s="3"/>
      <c r="J31" s="59" t="s">
        <v>114</v>
      </c>
      <c r="K31" s="59" t="s">
        <v>115</v>
      </c>
      <c r="L31" s="59" t="s">
        <v>116</v>
      </c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</row>
    <row r="32" spans="1:33" ht="19.5" customHeight="1" x14ac:dyDescent="0.2">
      <c r="A32" s="14"/>
      <c r="B32" s="3"/>
      <c r="C32" s="8"/>
      <c r="D32" s="14"/>
      <c r="E32" s="3"/>
      <c r="F32" s="55"/>
      <c r="G32" s="3"/>
      <c r="H32" s="3"/>
      <c r="I32" s="3"/>
      <c r="J32" s="3" t="s">
        <v>117</v>
      </c>
      <c r="K32" s="53"/>
      <c r="L32" s="53">
        <v>0.08</v>
      </c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3" t="s">
        <v>118</v>
      </c>
      <c r="F33" s="3"/>
      <c r="H33" s="3"/>
      <c r="I33" s="3"/>
      <c r="J33" s="3"/>
      <c r="K33" s="4"/>
      <c r="L33" s="53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17" t="s">
        <v>119</v>
      </c>
      <c r="F34" s="3" t="s">
        <v>187</v>
      </c>
      <c r="G34" s="3"/>
      <c r="H34" s="3"/>
      <c r="I34" s="3"/>
      <c r="J34" s="3" t="s">
        <v>120</v>
      </c>
      <c r="K34" s="53"/>
      <c r="L34" s="53">
        <v>0.04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17" t="s">
        <v>122</v>
      </c>
      <c r="F35" s="3">
        <v>0</v>
      </c>
      <c r="G35" s="3"/>
      <c r="H35" s="5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5"/>
      <c r="F36" s="3"/>
      <c r="G36" s="3"/>
      <c r="H36" s="5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55" t="s">
        <v>123</v>
      </c>
      <c r="F37" s="3"/>
      <c r="G37" s="3"/>
      <c r="H37" s="53"/>
      <c r="I37" s="3"/>
      <c r="J37" s="3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61" t="s">
        <v>124</v>
      </c>
      <c r="F38" s="3">
        <v>0</v>
      </c>
      <c r="G38" s="3"/>
      <c r="H38" s="3"/>
      <c r="I38" s="3"/>
      <c r="J38" s="62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61" t="s">
        <v>125</v>
      </c>
      <c r="F39" s="3">
        <v>0</v>
      </c>
      <c r="G39" s="3"/>
      <c r="H39" s="3"/>
      <c r="I39" s="3"/>
      <c r="J39" s="63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3"/>
      <c r="F40" s="3"/>
      <c r="G40" s="3"/>
      <c r="H40" s="3"/>
      <c r="I40" s="3"/>
      <c r="J40" s="64"/>
      <c r="K40" s="17"/>
      <c r="L40" s="4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55" t="s">
        <v>126</v>
      </c>
      <c r="F41" s="55"/>
      <c r="G41" s="3"/>
      <c r="H41" s="3"/>
      <c r="J41" s="4"/>
      <c r="K41" s="17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</row>
    <row r="42" spans="1:31" ht="19.5" customHeight="1" x14ac:dyDescent="0.2">
      <c r="A42" s="15"/>
      <c r="B42" s="3" t="s">
        <v>77</v>
      </c>
      <c r="C42" s="27"/>
      <c r="D42" s="14"/>
      <c r="E42" s="65" t="s">
        <v>20</v>
      </c>
      <c r="F42" s="65" t="s">
        <v>127</v>
      </c>
      <c r="G42" s="65" t="s">
        <v>128</v>
      </c>
      <c r="H42" s="65" t="s">
        <v>129</v>
      </c>
      <c r="I42" s="65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66" t="s">
        <v>389</v>
      </c>
      <c r="F43" s="67">
        <v>1440</v>
      </c>
      <c r="G43" s="68">
        <v>0</v>
      </c>
      <c r="H43" s="69" t="s">
        <v>131</v>
      </c>
      <c r="I43" s="68"/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70" t="s">
        <v>390</v>
      </c>
      <c r="F44" s="67">
        <v>305</v>
      </c>
      <c r="G44" s="68">
        <v>0</v>
      </c>
      <c r="H44" s="69" t="s">
        <v>131</v>
      </c>
      <c r="I44" s="68" t="s">
        <v>198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391</v>
      </c>
      <c r="F45" s="67">
        <v>193</v>
      </c>
      <c r="G45" s="68">
        <v>0</v>
      </c>
      <c r="H45" s="69" t="s">
        <v>131</v>
      </c>
      <c r="I45" s="68" t="s">
        <v>135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5"/>
      <c r="Y45" s="5"/>
      <c r="Z45" s="5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66" t="s">
        <v>392</v>
      </c>
      <c r="F46" s="71">
        <v>640</v>
      </c>
      <c r="G46" s="72"/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393</v>
      </c>
      <c r="F47" s="71">
        <v>130</v>
      </c>
      <c r="G47" s="72"/>
      <c r="H47" s="69" t="s">
        <v>131</v>
      </c>
      <c r="I47" s="68"/>
      <c r="J47" s="4"/>
      <c r="K47" s="4"/>
      <c r="L47" s="4"/>
      <c r="M47" s="73"/>
      <c r="N47" s="18"/>
      <c r="O47" s="18"/>
      <c r="P47" s="17"/>
      <c r="Q47" s="74"/>
      <c r="R47" s="53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 t="s">
        <v>394</v>
      </c>
      <c r="F48" s="71">
        <v>153</v>
      </c>
      <c r="G48" s="72"/>
      <c r="H48" s="69" t="s">
        <v>131</v>
      </c>
      <c r="I48" s="6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66"/>
      <c r="F50" s="4" t="s">
        <v>140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0"/>
      <c r="F51" s="4" t="s">
        <v>141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75"/>
      <c r="F52" s="4" t="s">
        <v>142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6"/>
      <c r="F53" s="4" t="s">
        <v>143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77" t="s">
        <v>144</v>
      </c>
      <c r="U53" s="77"/>
      <c r="V53" s="18"/>
      <c r="W53" s="19"/>
      <c r="X53" s="18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3"/>
      <c r="Y66" s="3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T4:V4"/>
    <mergeCell ref="X4:X5"/>
    <mergeCell ref="Y4:Y5"/>
    <mergeCell ref="Z4:AA4"/>
    <mergeCell ref="A3:C3"/>
    <mergeCell ref="E3:Q3"/>
    <mergeCell ref="R3:AC3"/>
    <mergeCell ref="E4:E5"/>
    <mergeCell ref="F4:I4"/>
    <mergeCell ref="J4:K4"/>
    <mergeCell ref="L4:M4"/>
    <mergeCell ref="AB4:AC4"/>
    <mergeCell ref="A43:C43"/>
    <mergeCell ref="P4:P5"/>
    <mergeCell ref="Q4:Q5"/>
    <mergeCell ref="R4:R5"/>
    <mergeCell ref="S4:S5"/>
    <mergeCell ref="N4:N5"/>
    <mergeCell ref="O4:O5"/>
    <mergeCell ref="A17:C17"/>
    <mergeCell ref="E17:R17"/>
    <mergeCell ref="A30:C30"/>
    <mergeCell ref="J30:L30"/>
  </mergeCells>
  <printOptions horizontalCentered="1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46179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138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14</v>
      </c>
      <c r="G6" s="73">
        <v>46179</v>
      </c>
      <c r="H6" s="18">
        <v>8137</v>
      </c>
      <c r="I6" s="17" t="s">
        <v>28</v>
      </c>
      <c r="J6" s="4" t="s">
        <v>29</v>
      </c>
      <c r="K6" s="4" t="s">
        <v>38</v>
      </c>
      <c r="L6" s="17">
        <v>0</v>
      </c>
      <c r="M6" s="17"/>
      <c r="N6" s="18">
        <v>8137</v>
      </c>
      <c r="O6" s="17" t="s">
        <v>31</v>
      </c>
      <c r="P6" s="19">
        <f t="shared" ref="P6:P14" si="0">N6/H6</f>
        <v>1</v>
      </c>
      <c r="Q6" s="19">
        <v>0.04</v>
      </c>
      <c r="R6" s="20"/>
      <c r="S6" s="17" t="s">
        <v>201</v>
      </c>
      <c r="T6" s="17">
        <v>1</v>
      </c>
      <c r="U6" s="17">
        <v>1</v>
      </c>
      <c r="V6" s="17">
        <v>1</v>
      </c>
      <c r="W6" s="17"/>
      <c r="X6" s="17"/>
      <c r="Y6" s="17"/>
      <c r="Z6" s="17" t="s">
        <v>33</v>
      </c>
      <c r="AA6" s="21" t="s">
        <v>33</v>
      </c>
      <c r="AB6" s="22"/>
      <c r="AC6" s="23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13</v>
      </c>
      <c r="G7" s="73">
        <v>46178</v>
      </c>
      <c r="H7" s="18">
        <v>8122</v>
      </c>
      <c r="I7" s="17" t="s">
        <v>37</v>
      </c>
      <c r="J7" s="4" t="s">
        <v>38</v>
      </c>
      <c r="K7" s="4" t="s">
        <v>38</v>
      </c>
      <c r="L7" s="17"/>
      <c r="M7" s="17" t="s">
        <v>44</v>
      </c>
      <c r="N7" s="18">
        <v>8122</v>
      </c>
      <c r="O7" s="17" t="s">
        <v>31</v>
      </c>
      <c r="P7" s="19">
        <f t="shared" si="0"/>
        <v>1</v>
      </c>
      <c r="Q7" s="19">
        <v>0.04</v>
      </c>
      <c r="R7" s="20"/>
      <c r="S7" s="17" t="s">
        <v>250</v>
      </c>
      <c r="T7" s="17"/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121</v>
      </c>
      <c r="B8" s="16">
        <v>178000</v>
      </c>
      <c r="C8" s="24">
        <v>0.65</v>
      </c>
      <c r="D8" s="3"/>
      <c r="E8" s="60">
        <v>3</v>
      </c>
      <c r="F8" s="17">
        <v>12</v>
      </c>
      <c r="G8" s="73">
        <v>46177</v>
      </c>
      <c r="H8" s="18">
        <v>6783</v>
      </c>
      <c r="I8" s="17" t="s">
        <v>42</v>
      </c>
      <c r="J8" s="4" t="s">
        <v>43</v>
      </c>
      <c r="K8" s="4" t="s">
        <v>43</v>
      </c>
      <c r="L8" s="17"/>
      <c r="M8" s="17" t="s">
        <v>151</v>
      </c>
      <c r="N8" s="18">
        <v>6500</v>
      </c>
      <c r="O8" s="17" t="s">
        <v>31</v>
      </c>
      <c r="P8" s="19">
        <f t="shared" si="0"/>
        <v>0.95827804806132977</v>
      </c>
      <c r="Q8" s="19">
        <v>0.01</v>
      </c>
      <c r="R8" s="20" t="s">
        <v>395</v>
      </c>
      <c r="S8" s="17" t="s">
        <v>51</v>
      </c>
      <c r="T8" s="17"/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11</v>
      </c>
      <c r="G9" s="73">
        <v>46176</v>
      </c>
      <c r="H9" s="18">
        <v>8265</v>
      </c>
      <c r="I9" s="17" t="s">
        <v>154</v>
      </c>
      <c r="J9" s="4" t="s">
        <v>396</v>
      </c>
      <c r="K9" s="4" t="s">
        <v>299</v>
      </c>
      <c r="L9" s="17"/>
      <c r="M9" s="17" t="s">
        <v>397</v>
      </c>
      <c r="N9" s="18">
        <v>6994</v>
      </c>
      <c r="O9" s="17" t="s">
        <v>31</v>
      </c>
      <c r="P9" s="19">
        <f t="shared" si="0"/>
        <v>0.84621899576527526</v>
      </c>
      <c r="Q9" s="19">
        <v>0.06</v>
      </c>
      <c r="R9" s="20" t="s">
        <v>398</v>
      </c>
      <c r="S9" s="17" t="s">
        <v>349</v>
      </c>
      <c r="T9" s="17"/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10</v>
      </c>
      <c r="G10" s="73">
        <v>46175</v>
      </c>
      <c r="H10" s="18">
        <v>8313</v>
      </c>
      <c r="I10" s="17" t="s">
        <v>212</v>
      </c>
      <c r="J10" s="4" t="s">
        <v>399</v>
      </c>
      <c r="K10" s="4" t="s">
        <v>400</v>
      </c>
      <c r="L10" s="17"/>
      <c r="M10" s="17"/>
      <c r="N10" s="18">
        <v>6900</v>
      </c>
      <c r="O10" s="17" t="s">
        <v>31</v>
      </c>
      <c r="P10" s="19">
        <f t="shared" si="0"/>
        <v>0.83002526163839774</v>
      </c>
      <c r="Q10" s="19"/>
      <c r="R10" s="20" t="s">
        <v>148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1.1299999999999999</v>
      </c>
      <c r="B11" s="16">
        <v>130000</v>
      </c>
      <c r="C11" s="8"/>
      <c r="D11" s="3"/>
      <c r="E11" s="60">
        <v>6</v>
      </c>
      <c r="F11" s="17">
        <v>9</v>
      </c>
      <c r="G11" s="73">
        <v>46174</v>
      </c>
      <c r="H11" s="18">
        <v>7541</v>
      </c>
      <c r="I11" s="17" t="s">
        <v>47</v>
      </c>
      <c r="J11" s="4" t="s">
        <v>401</v>
      </c>
      <c r="K11" s="4" t="s">
        <v>402</v>
      </c>
      <c r="L11" s="17"/>
      <c r="M11" s="17"/>
      <c r="N11" s="18">
        <v>5692</v>
      </c>
      <c r="O11" s="17" t="s">
        <v>31</v>
      </c>
      <c r="P11" s="19">
        <f t="shared" si="0"/>
        <v>0.75480705476727228</v>
      </c>
      <c r="Q11" s="19"/>
      <c r="R11" s="20" t="s">
        <v>157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8</v>
      </c>
      <c r="G12" s="73">
        <v>46173</v>
      </c>
      <c r="H12" s="18">
        <v>9303</v>
      </c>
      <c r="I12" s="17" t="s">
        <v>54</v>
      </c>
      <c r="J12" s="4" t="s">
        <v>403</v>
      </c>
      <c r="K12" s="4" t="s">
        <v>404</v>
      </c>
      <c r="L12" s="17"/>
      <c r="M12" s="85" t="s">
        <v>57</v>
      </c>
      <c r="N12" s="18">
        <v>7000</v>
      </c>
      <c r="O12" s="17" t="s">
        <v>31</v>
      </c>
      <c r="P12" s="19">
        <f t="shared" si="0"/>
        <v>0.7524454477050414</v>
      </c>
      <c r="Q12" s="19"/>
      <c r="R12" s="20" t="s">
        <v>45</v>
      </c>
      <c r="S12" s="17" t="s">
        <v>78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15840000</v>
      </c>
      <c r="D13" s="3"/>
      <c r="E13" s="60">
        <v>8</v>
      </c>
      <c r="F13" s="17">
        <v>7</v>
      </c>
      <c r="G13" s="73">
        <v>46172</v>
      </c>
      <c r="H13" s="18">
        <v>8595</v>
      </c>
      <c r="I13" s="17" t="s">
        <v>59</v>
      </c>
      <c r="J13" s="4" t="s">
        <v>405</v>
      </c>
      <c r="K13" s="4" t="s">
        <v>406</v>
      </c>
      <c r="L13" s="17"/>
      <c r="M13" s="85" t="s">
        <v>57</v>
      </c>
      <c r="N13" s="18">
        <v>6000</v>
      </c>
      <c r="O13" s="17" t="s">
        <v>31</v>
      </c>
      <c r="P13" s="19">
        <f t="shared" si="0"/>
        <v>0.69808027923211169</v>
      </c>
      <c r="Q13" s="19"/>
      <c r="R13" s="20" t="s">
        <v>361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14572500</v>
      </c>
      <c r="D14" s="3"/>
      <c r="E14" s="60">
        <v>9</v>
      </c>
      <c r="F14" s="17">
        <v>6</v>
      </c>
      <c r="G14" s="73">
        <v>46171</v>
      </c>
      <c r="H14" s="18">
        <v>8058</v>
      </c>
      <c r="I14" s="17" t="s">
        <v>64</v>
      </c>
      <c r="J14" s="4" t="s">
        <v>407</v>
      </c>
      <c r="K14" s="4" t="s">
        <v>219</v>
      </c>
      <c r="L14" s="17"/>
      <c r="M14" s="85" t="s">
        <v>57</v>
      </c>
      <c r="N14" s="18">
        <v>6000</v>
      </c>
      <c r="O14" s="17" t="s">
        <v>31</v>
      </c>
      <c r="P14" s="19">
        <f t="shared" si="0"/>
        <v>0.74460163812360391</v>
      </c>
      <c r="Q14" s="19">
        <v>0.01</v>
      </c>
      <c r="R14" s="20" t="s">
        <v>408</v>
      </c>
      <c r="S14" s="17"/>
      <c r="T14" s="17"/>
      <c r="U14" s="17">
        <v>1</v>
      </c>
      <c r="V14" s="17">
        <v>1</v>
      </c>
      <c r="W14" s="17"/>
      <c r="X14" s="17" t="s">
        <v>172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82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4"/>
      <c r="S15" s="84"/>
      <c r="T15" s="84"/>
      <c r="U15" s="84"/>
      <c r="V15" s="84"/>
      <c r="W15" s="84"/>
      <c r="X15" s="84"/>
      <c r="Y15" s="84"/>
      <c r="Z15" s="33"/>
      <c r="AA15" s="33"/>
      <c r="AB15" s="39"/>
      <c r="AC15" s="39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1000000</v>
      </c>
      <c r="D16" s="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  <c r="X16" s="42"/>
      <c r="Y16" s="42"/>
      <c r="Z16" s="4"/>
      <c r="AA16" s="4"/>
      <c r="AB16" s="4"/>
      <c r="AC16" s="4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108" t="s">
        <v>79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  <c r="S17" s="42"/>
      <c r="T17" s="42"/>
      <c r="U17" s="42"/>
      <c r="V17" s="3"/>
      <c r="W17" s="5"/>
      <c r="X17" s="5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3" t="s">
        <v>4</v>
      </c>
      <c r="F18" s="43" t="s">
        <v>20</v>
      </c>
      <c r="G18" s="43" t="s">
        <v>21</v>
      </c>
      <c r="H18" s="43" t="s">
        <v>8</v>
      </c>
      <c r="I18" s="43" t="s">
        <v>81</v>
      </c>
      <c r="J18" s="43" t="s">
        <v>22</v>
      </c>
      <c r="K18" s="43" t="s">
        <v>10</v>
      </c>
      <c r="L18" s="43" t="s">
        <v>82</v>
      </c>
      <c r="M18" s="43" t="s">
        <v>12</v>
      </c>
      <c r="N18" s="43" t="s">
        <v>83</v>
      </c>
      <c r="O18" s="43" t="s">
        <v>84</v>
      </c>
      <c r="P18" s="43" t="s">
        <v>85</v>
      </c>
      <c r="Q18" s="43" t="s">
        <v>86</v>
      </c>
      <c r="R18" s="43" t="s">
        <v>87</v>
      </c>
      <c r="S18" s="42"/>
      <c r="T18" s="42"/>
      <c r="U18" s="42"/>
      <c r="V18" s="3"/>
      <c r="W18" s="5"/>
      <c r="X18" s="5"/>
      <c r="Y18" s="4"/>
      <c r="Z18" s="4"/>
      <c r="AA18" s="4"/>
      <c r="AB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44">
        <v>12</v>
      </c>
      <c r="F19" s="44">
        <v>7</v>
      </c>
      <c r="G19" s="45">
        <v>46178</v>
      </c>
      <c r="H19" s="46">
        <v>3654</v>
      </c>
      <c r="I19" s="46">
        <v>3288</v>
      </c>
      <c r="J19" s="44" t="s">
        <v>226</v>
      </c>
      <c r="K19" s="47">
        <v>0.75</v>
      </c>
      <c r="L19" s="48">
        <v>0.01</v>
      </c>
      <c r="M19" s="49" t="s">
        <v>409</v>
      </c>
      <c r="N19" s="50" t="s">
        <v>410</v>
      </c>
      <c r="O19" s="44" t="s">
        <v>411</v>
      </c>
      <c r="P19" s="46"/>
      <c r="Q19" s="51"/>
      <c r="R19" s="46"/>
      <c r="S19" s="16"/>
      <c r="T19" s="5"/>
      <c r="U19" s="4"/>
      <c r="V19" s="4"/>
      <c r="W19" s="4"/>
      <c r="X19" s="4"/>
      <c r="Y19" s="4"/>
      <c r="Z19" s="4"/>
      <c r="AA19" s="4"/>
      <c r="AB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13</v>
      </c>
      <c r="F20" s="44">
        <v>5</v>
      </c>
      <c r="G20" s="45">
        <v>46177</v>
      </c>
      <c r="H20" s="46">
        <v>2876</v>
      </c>
      <c r="I20" s="46">
        <v>2588</v>
      </c>
      <c r="J20" s="44" t="s">
        <v>88</v>
      </c>
      <c r="K20" s="47">
        <v>0.71</v>
      </c>
      <c r="L20" s="48"/>
      <c r="M20" s="49" t="s">
        <v>412</v>
      </c>
      <c r="N20" s="50" t="s">
        <v>271</v>
      </c>
      <c r="O20" s="44" t="s">
        <v>413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14</v>
      </c>
      <c r="F21" s="44">
        <v>4</v>
      </c>
      <c r="G21" s="45">
        <v>46176</v>
      </c>
      <c r="H21" s="46">
        <v>4688</v>
      </c>
      <c r="I21" s="46">
        <v>4219</v>
      </c>
      <c r="J21" s="44" t="s">
        <v>92</v>
      </c>
      <c r="K21" s="47">
        <v>0.78</v>
      </c>
      <c r="L21" s="48"/>
      <c r="M21" s="49" t="s">
        <v>414</v>
      </c>
      <c r="N21" s="50" t="s">
        <v>320</v>
      </c>
      <c r="O21" s="44" t="s">
        <v>415</v>
      </c>
      <c r="P21" s="46"/>
      <c r="Q21" s="51"/>
      <c r="R21" s="46"/>
      <c r="S21" s="16" t="s">
        <v>101</v>
      </c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15</v>
      </c>
      <c r="F22" s="44">
        <v>3</v>
      </c>
      <c r="G22" s="45">
        <v>46175</v>
      </c>
      <c r="H22" s="46">
        <v>5604</v>
      </c>
      <c r="I22" s="46">
        <v>5043</v>
      </c>
      <c r="J22" s="44" t="s">
        <v>96</v>
      </c>
      <c r="K22" s="47">
        <v>0.7</v>
      </c>
      <c r="L22" s="48"/>
      <c r="M22" s="49" t="s">
        <v>416</v>
      </c>
      <c r="N22" s="50" t="s">
        <v>417</v>
      </c>
      <c r="O22" s="44" t="s">
        <v>418</v>
      </c>
      <c r="P22" s="46"/>
      <c r="Q22" s="51"/>
      <c r="R22" s="46"/>
      <c r="S22" s="3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16</v>
      </c>
      <c r="F23" s="44">
        <v>2</v>
      </c>
      <c r="G23" s="45">
        <v>46174</v>
      </c>
      <c r="H23" s="46">
        <v>4057</v>
      </c>
      <c r="I23" s="46">
        <v>3651</v>
      </c>
      <c r="J23" s="44" t="s">
        <v>102</v>
      </c>
      <c r="K23" s="47">
        <v>0.86</v>
      </c>
      <c r="L23" s="48"/>
      <c r="M23" s="49" t="s">
        <v>419</v>
      </c>
      <c r="N23" s="50" t="s">
        <v>104</v>
      </c>
      <c r="O23" s="44" t="s">
        <v>420</v>
      </c>
      <c r="P23" s="46">
        <v>1160</v>
      </c>
      <c r="Q23" s="52">
        <f t="shared" ref="Q23:Q26" si="1">P23/H23</f>
        <v>0.28592556075918169</v>
      </c>
      <c r="R23" s="46" t="s">
        <v>106</v>
      </c>
      <c r="S23" s="3"/>
      <c r="T23" s="3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16</v>
      </c>
      <c r="F24" s="44">
        <v>1</v>
      </c>
      <c r="G24" s="45">
        <v>46174</v>
      </c>
      <c r="H24" s="46">
        <v>4066</v>
      </c>
      <c r="I24" s="46">
        <v>3659</v>
      </c>
      <c r="J24" s="44" t="s">
        <v>102</v>
      </c>
      <c r="K24" s="47">
        <v>0.86</v>
      </c>
      <c r="L24" s="48"/>
      <c r="M24" s="49" t="s">
        <v>421</v>
      </c>
      <c r="N24" s="50" t="s">
        <v>422</v>
      </c>
      <c r="O24" s="50" t="s">
        <v>423</v>
      </c>
      <c r="P24" s="46">
        <v>2220</v>
      </c>
      <c r="Q24" s="52">
        <f t="shared" si="1"/>
        <v>0.54599114608952293</v>
      </c>
      <c r="R24" s="46" t="s">
        <v>106</v>
      </c>
      <c r="S24" s="3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20</v>
      </c>
      <c r="F25" s="44">
        <v>14</v>
      </c>
      <c r="G25" s="45">
        <v>46170</v>
      </c>
      <c r="H25" s="46">
        <v>3686</v>
      </c>
      <c r="I25" s="46">
        <v>3317</v>
      </c>
      <c r="J25" s="44" t="s">
        <v>385</v>
      </c>
      <c r="K25" s="47">
        <v>0.49</v>
      </c>
      <c r="L25" s="48"/>
      <c r="M25" s="49"/>
      <c r="N25" s="50" t="s">
        <v>381</v>
      </c>
      <c r="O25" s="50" t="s">
        <v>381</v>
      </c>
      <c r="P25" s="46">
        <v>3060</v>
      </c>
      <c r="Q25" s="52">
        <f t="shared" si="1"/>
        <v>0.83016820401519265</v>
      </c>
      <c r="R25" s="46"/>
      <c r="S25" s="16"/>
      <c r="T25" s="53"/>
      <c r="U25" s="54"/>
      <c r="V25" s="4"/>
      <c r="W25" s="4"/>
      <c r="X25" s="4"/>
      <c r="Y25" s="4"/>
      <c r="Z25" s="4"/>
      <c r="AA25" s="4"/>
      <c r="AB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21</v>
      </c>
      <c r="F26" s="44">
        <v>12</v>
      </c>
      <c r="G26" s="45">
        <v>46169</v>
      </c>
      <c r="H26" s="46">
        <v>3183</v>
      </c>
      <c r="I26" s="46">
        <v>2864</v>
      </c>
      <c r="J26" s="44" t="s">
        <v>424</v>
      </c>
      <c r="K26" s="47">
        <v>0.65</v>
      </c>
      <c r="L26" s="48"/>
      <c r="M26" s="49"/>
      <c r="N26" s="50" t="s">
        <v>381</v>
      </c>
      <c r="O26" s="50" t="s">
        <v>381</v>
      </c>
      <c r="P26" s="46">
        <v>2535</v>
      </c>
      <c r="Q26" s="52">
        <f t="shared" si="1"/>
        <v>0.79641847313854852</v>
      </c>
      <c r="R26" s="46"/>
      <c r="S26" s="16"/>
      <c r="T26" s="54"/>
      <c r="U26" s="57"/>
      <c r="V26" s="4"/>
      <c r="W26" s="4"/>
      <c r="X26" s="4"/>
      <c r="Y26" s="4"/>
      <c r="Z26" s="4"/>
      <c r="AA26" s="4"/>
      <c r="AB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55" t="s">
        <v>110</v>
      </c>
      <c r="I29" s="56" t="s">
        <v>76</v>
      </c>
      <c r="J29" s="105" t="s">
        <v>111</v>
      </c>
      <c r="K29" s="106"/>
      <c r="L29" s="107"/>
      <c r="M29" s="4"/>
      <c r="N29" s="4"/>
      <c r="O29" s="4"/>
      <c r="P29" s="4"/>
      <c r="Q29" s="4"/>
      <c r="R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58" t="s">
        <v>112</v>
      </c>
      <c r="G30" s="3" t="s">
        <v>151</v>
      </c>
      <c r="H30" s="4"/>
      <c r="I30" s="3"/>
      <c r="J30" s="59" t="s">
        <v>114</v>
      </c>
      <c r="K30" s="59" t="s">
        <v>115</v>
      </c>
      <c r="L30" s="59" t="s">
        <v>116</v>
      </c>
      <c r="M30" s="4"/>
      <c r="N30" s="4"/>
      <c r="O30" s="4"/>
      <c r="P30" s="4"/>
      <c r="Q30" s="4"/>
      <c r="R30" s="4"/>
      <c r="S30" s="3"/>
      <c r="T30" s="5"/>
      <c r="U30" s="4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3"/>
      <c r="F31" s="55"/>
      <c r="G31" s="3"/>
      <c r="H31" s="3"/>
      <c r="I31" s="3"/>
      <c r="J31" s="3" t="s">
        <v>117</v>
      </c>
      <c r="K31" s="53"/>
      <c r="L31" s="53">
        <v>7.0000000000000007E-2</v>
      </c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</row>
    <row r="32" spans="1:33" ht="19.5" customHeight="1" x14ac:dyDescent="0.2">
      <c r="A32" s="14"/>
      <c r="B32" s="3"/>
      <c r="C32" s="8"/>
      <c r="D32" s="14"/>
      <c r="E32" s="3" t="s">
        <v>118</v>
      </c>
      <c r="F32" s="3"/>
      <c r="H32" s="3"/>
      <c r="I32" s="3"/>
      <c r="J32" s="3"/>
      <c r="K32" s="4"/>
      <c r="L32" s="53"/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119</v>
      </c>
      <c r="F33" s="3">
        <v>0</v>
      </c>
      <c r="G33" s="3"/>
      <c r="H33" s="3"/>
      <c r="I33" s="3"/>
      <c r="J33" s="3" t="s">
        <v>120</v>
      </c>
      <c r="K33" s="53"/>
      <c r="L33" s="53">
        <v>0.02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17" t="s">
        <v>122</v>
      </c>
      <c r="F34" s="3">
        <v>0</v>
      </c>
      <c r="G34" s="3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"/>
      <c r="F35" s="3"/>
      <c r="G35" s="3"/>
      <c r="H35" s="5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55" t="s">
        <v>123</v>
      </c>
      <c r="F36" s="3"/>
      <c r="G36" s="3"/>
      <c r="H36" s="53"/>
      <c r="I36" s="3"/>
      <c r="J36" s="3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124</v>
      </c>
      <c r="F37" s="3">
        <v>0</v>
      </c>
      <c r="G37" s="3"/>
      <c r="H37" s="3"/>
      <c r="I37" s="3"/>
      <c r="J37" s="62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61" t="s">
        <v>125</v>
      </c>
      <c r="F38" s="3">
        <v>0</v>
      </c>
      <c r="G38" s="3"/>
      <c r="H38" s="3"/>
      <c r="I38" s="3"/>
      <c r="J38" s="63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3"/>
      <c r="F39" s="3"/>
      <c r="G39" s="3"/>
      <c r="H39" s="3"/>
      <c r="I39" s="3"/>
      <c r="J39" s="6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55" t="s">
        <v>126</v>
      </c>
      <c r="F40" s="55"/>
      <c r="G40" s="3"/>
      <c r="H40" s="3"/>
      <c r="J40" s="4"/>
      <c r="K40" s="17"/>
      <c r="L40" s="4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</row>
    <row r="41" spans="1:31" ht="19.5" customHeight="1" x14ac:dyDescent="0.2">
      <c r="A41" s="40"/>
      <c r="B41" s="3" t="s">
        <v>75</v>
      </c>
      <c r="C41" s="27"/>
      <c r="D41" s="14"/>
      <c r="E41" s="65" t="s">
        <v>20</v>
      </c>
      <c r="F41" s="65" t="s">
        <v>127</v>
      </c>
      <c r="G41" s="65" t="s">
        <v>128</v>
      </c>
      <c r="H41" s="65" t="s">
        <v>129</v>
      </c>
      <c r="I41" s="65" t="s">
        <v>87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5"/>
      <c r="X41" s="4"/>
      <c r="Y41" s="4"/>
      <c r="Z41" s="4"/>
      <c r="AA41" s="4"/>
      <c r="AB41" s="4"/>
      <c r="AC41" s="4"/>
    </row>
    <row r="42" spans="1:31" ht="19.5" customHeight="1" x14ac:dyDescent="0.2">
      <c r="A42" s="15"/>
      <c r="B42" s="3" t="s">
        <v>77</v>
      </c>
      <c r="C42" s="27"/>
      <c r="D42" s="14"/>
      <c r="E42" s="66" t="s">
        <v>130</v>
      </c>
      <c r="F42" s="67">
        <v>1280</v>
      </c>
      <c r="G42" s="68">
        <v>0</v>
      </c>
      <c r="H42" s="69" t="s">
        <v>131</v>
      </c>
      <c r="I42" s="68" t="s">
        <v>40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70" t="s">
        <v>132</v>
      </c>
      <c r="F43" s="67">
        <v>248</v>
      </c>
      <c r="G43" s="68">
        <v>0</v>
      </c>
      <c r="H43" s="69" t="s">
        <v>131</v>
      </c>
      <c r="I43" s="68" t="s">
        <v>425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70" t="s">
        <v>426</v>
      </c>
      <c r="F44" s="67">
        <v>270</v>
      </c>
      <c r="G44" s="68">
        <v>0</v>
      </c>
      <c r="H44" s="69" t="s">
        <v>131</v>
      </c>
      <c r="I44" s="68" t="s">
        <v>425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136</v>
      </c>
      <c r="F45" s="71">
        <v>480</v>
      </c>
      <c r="G45" s="72"/>
      <c r="H45" s="69" t="s">
        <v>131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5"/>
      <c r="Y45" s="5"/>
      <c r="Z45" s="5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137</v>
      </c>
      <c r="F46" s="71">
        <v>165</v>
      </c>
      <c r="G46" s="72"/>
      <c r="H46" s="69" t="s">
        <v>131</v>
      </c>
      <c r="I46" s="68" t="s">
        <v>427</v>
      </c>
      <c r="J46" s="4"/>
      <c r="K46" s="4"/>
      <c r="L46" s="4"/>
      <c r="M46" s="73"/>
      <c r="N46" s="18"/>
      <c r="O46" s="18"/>
      <c r="P46" s="17"/>
      <c r="Q46" s="74"/>
      <c r="R46" s="53"/>
      <c r="S46" s="5"/>
      <c r="T46" s="4"/>
      <c r="U46" s="3"/>
      <c r="V46" s="3"/>
      <c r="W46" s="3"/>
      <c r="X46" s="3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428</v>
      </c>
      <c r="F47" s="71">
        <v>183</v>
      </c>
      <c r="G47" s="72"/>
      <c r="H47" s="69" t="s">
        <v>131</v>
      </c>
      <c r="I47" s="68" t="s">
        <v>40</v>
      </c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66"/>
      <c r="F49" s="4" t="s">
        <v>140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/>
      <c r="F50" s="4" t="s">
        <v>141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5"/>
      <c r="F51" s="4" t="s">
        <v>142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76"/>
      <c r="F52" s="4" t="s">
        <v>143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M53" s="4"/>
      <c r="N53" s="4"/>
      <c r="O53" s="4"/>
      <c r="P53" s="4"/>
      <c r="Q53" s="4"/>
      <c r="R53" s="4"/>
      <c r="S53" s="4"/>
      <c r="T53" s="77" t="s">
        <v>144</v>
      </c>
      <c r="U53" s="77"/>
      <c r="V53" s="18"/>
      <c r="W53" s="19"/>
      <c r="X53" s="18"/>
      <c r="Y53" s="3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4"/>
      <c r="U54" s="78"/>
      <c r="V54" s="4"/>
      <c r="W54" s="3"/>
      <c r="X54" s="3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5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3"/>
      <c r="Y66" s="3"/>
      <c r="Z66" s="4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43:C43"/>
    <mergeCell ref="P4:P5"/>
    <mergeCell ref="Q4:Q5"/>
    <mergeCell ref="J29:L29"/>
    <mergeCell ref="R4:R5"/>
    <mergeCell ref="N4:N5"/>
    <mergeCell ref="O4:O5"/>
    <mergeCell ref="A17:C17"/>
    <mergeCell ref="E17:R17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143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15</v>
      </c>
      <c r="G6" s="73">
        <v>46180</v>
      </c>
      <c r="H6" s="18">
        <v>7668</v>
      </c>
      <c r="I6" s="17" t="s">
        <v>28</v>
      </c>
      <c r="J6" s="4" t="s">
        <v>29</v>
      </c>
      <c r="K6" s="4" t="s">
        <v>145</v>
      </c>
      <c r="L6" s="17">
        <v>0</v>
      </c>
      <c r="M6" s="86"/>
      <c r="N6" s="18">
        <v>7668</v>
      </c>
      <c r="O6" s="17" t="s">
        <v>31</v>
      </c>
      <c r="P6" s="19">
        <f t="shared" ref="P6:P15" si="0">N6/H6</f>
        <v>1</v>
      </c>
      <c r="Q6" s="19">
        <v>0.01</v>
      </c>
      <c r="R6" s="4" t="s">
        <v>203</v>
      </c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14</v>
      </c>
      <c r="G7" s="73">
        <v>46179</v>
      </c>
      <c r="H7" s="18">
        <v>8137</v>
      </c>
      <c r="I7" s="17" t="s">
        <v>37</v>
      </c>
      <c r="J7" s="4" t="s">
        <v>38</v>
      </c>
      <c r="K7" s="4" t="s">
        <v>38</v>
      </c>
      <c r="L7" s="17"/>
      <c r="M7" s="17" t="s">
        <v>429</v>
      </c>
      <c r="N7" s="18">
        <v>8137</v>
      </c>
      <c r="O7" s="17" t="s">
        <v>31</v>
      </c>
      <c r="P7" s="19">
        <f t="shared" si="0"/>
        <v>1</v>
      </c>
      <c r="Q7" s="19">
        <v>0.01</v>
      </c>
      <c r="R7" s="4" t="s">
        <v>430</v>
      </c>
      <c r="S7" s="17" t="s">
        <v>250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122</v>
      </c>
      <c r="B8" s="16">
        <v>187000</v>
      </c>
      <c r="C8" s="24">
        <v>0.7</v>
      </c>
      <c r="D8" s="3"/>
      <c r="E8" s="60">
        <v>3</v>
      </c>
      <c r="F8" s="17">
        <v>13</v>
      </c>
      <c r="G8" s="73">
        <v>46178</v>
      </c>
      <c r="H8" s="18">
        <v>8122</v>
      </c>
      <c r="I8" s="17" t="s">
        <v>42</v>
      </c>
      <c r="J8" s="4" t="s">
        <v>43</v>
      </c>
      <c r="K8" s="4" t="s">
        <v>43</v>
      </c>
      <c r="L8" s="17"/>
      <c r="M8" s="17" t="s">
        <v>431</v>
      </c>
      <c r="N8" s="18">
        <v>7850</v>
      </c>
      <c r="O8" s="17" t="s">
        <v>31</v>
      </c>
      <c r="P8" s="19">
        <f t="shared" si="0"/>
        <v>0.96651071164737745</v>
      </c>
      <c r="Q8" s="19">
        <v>0.03</v>
      </c>
      <c r="R8" s="4" t="s">
        <v>432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12</v>
      </c>
      <c r="G9" s="73">
        <v>46177</v>
      </c>
      <c r="H9" s="18">
        <v>6783</v>
      </c>
      <c r="I9" s="17" t="s">
        <v>154</v>
      </c>
      <c r="J9" s="4" t="s">
        <v>433</v>
      </c>
      <c r="K9" s="4" t="s">
        <v>434</v>
      </c>
      <c r="L9" s="17"/>
      <c r="M9" s="17" t="s">
        <v>435</v>
      </c>
      <c r="N9" s="18">
        <v>5916</v>
      </c>
      <c r="O9" s="17" t="s">
        <v>31</v>
      </c>
      <c r="P9" s="19">
        <f t="shared" si="0"/>
        <v>0.8721804511278195</v>
      </c>
      <c r="Q9" s="19">
        <v>0.04</v>
      </c>
      <c r="R9" s="4" t="s">
        <v>436</v>
      </c>
      <c r="S9" s="17" t="s">
        <v>51</v>
      </c>
      <c r="T9" s="17"/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11</v>
      </c>
      <c r="G10" s="73">
        <v>46176</v>
      </c>
      <c r="H10" s="18">
        <v>8265</v>
      </c>
      <c r="I10" s="17" t="s">
        <v>212</v>
      </c>
      <c r="J10" s="4" t="s">
        <v>437</v>
      </c>
      <c r="K10" s="4" t="s">
        <v>400</v>
      </c>
      <c r="L10" s="17"/>
      <c r="M10" s="17"/>
      <c r="N10" s="18">
        <v>6644</v>
      </c>
      <c r="O10" s="17" t="s">
        <v>31</v>
      </c>
      <c r="P10" s="19">
        <f t="shared" si="0"/>
        <v>0.80387174833635811</v>
      </c>
      <c r="Q10" s="19">
        <v>0.01</v>
      </c>
      <c r="R10" s="4" t="s">
        <v>438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1.05</v>
      </c>
      <c r="B11" s="16">
        <v>137000</v>
      </c>
      <c r="C11" s="8"/>
      <c r="D11" s="3"/>
      <c r="E11" s="60">
        <v>6</v>
      </c>
      <c r="F11" s="17">
        <v>10</v>
      </c>
      <c r="G11" s="73">
        <v>46175</v>
      </c>
      <c r="H11" s="18">
        <v>8313</v>
      </c>
      <c r="I11" s="17" t="s">
        <v>47</v>
      </c>
      <c r="J11" s="4" t="s">
        <v>439</v>
      </c>
      <c r="K11" s="4" t="s">
        <v>440</v>
      </c>
      <c r="L11" s="17"/>
      <c r="M11" s="17"/>
      <c r="N11" s="18">
        <v>6693</v>
      </c>
      <c r="O11" s="17" t="s">
        <v>31</v>
      </c>
      <c r="P11" s="19">
        <f t="shared" si="0"/>
        <v>0.80512450378924572</v>
      </c>
      <c r="Q11" s="19">
        <v>0.02</v>
      </c>
      <c r="R11" s="4" t="s">
        <v>40</v>
      </c>
      <c r="S11" s="17" t="s">
        <v>349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9</v>
      </c>
      <c r="G12" s="73">
        <v>46174</v>
      </c>
      <c r="H12" s="18">
        <v>7541</v>
      </c>
      <c r="I12" s="17" t="s">
        <v>54</v>
      </c>
      <c r="J12" s="4" t="s">
        <v>441</v>
      </c>
      <c r="K12" s="4" t="s">
        <v>442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0.6630420368651373</v>
      </c>
      <c r="Q12" s="19">
        <v>0.02</v>
      </c>
      <c r="R12" s="4" t="s">
        <v>443</v>
      </c>
      <c r="S12" s="17" t="s">
        <v>444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16725000</v>
      </c>
      <c r="D13" s="3"/>
      <c r="E13" s="60">
        <v>8</v>
      </c>
      <c r="F13" s="17">
        <v>8</v>
      </c>
      <c r="G13" s="73">
        <v>46173</v>
      </c>
      <c r="H13" s="18">
        <v>9303</v>
      </c>
      <c r="I13" s="17" t="s">
        <v>59</v>
      </c>
      <c r="J13" s="4" t="s">
        <v>445</v>
      </c>
      <c r="K13" s="4" t="s">
        <v>446</v>
      </c>
      <c r="L13" s="17"/>
      <c r="M13" s="85" t="s">
        <v>57</v>
      </c>
      <c r="N13" s="18">
        <v>7000</v>
      </c>
      <c r="O13" s="17" t="s">
        <v>31</v>
      </c>
      <c r="P13" s="19">
        <f t="shared" si="0"/>
        <v>0.7524454477050414</v>
      </c>
      <c r="Q13" s="19"/>
      <c r="R13" s="4" t="s">
        <v>447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14973750</v>
      </c>
      <c r="D14" s="3"/>
      <c r="E14" s="60">
        <v>9</v>
      </c>
      <c r="F14" s="17">
        <v>7</v>
      </c>
      <c r="G14" s="73">
        <v>46172</v>
      </c>
      <c r="H14" s="18">
        <v>8595</v>
      </c>
      <c r="I14" s="17" t="s">
        <v>64</v>
      </c>
      <c r="J14" s="4" t="s">
        <v>448</v>
      </c>
      <c r="K14" s="4" t="s">
        <v>449</v>
      </c>
      <c r="L14" s="17"/>
      <c r="M14" s="85" t="s">
        <v>57</v>
      </c>
      <c r="N14" s="18">
        <v>6000</v>
      </c>
      <c r="O14" s="17" t="s">
        <v>31</v>
      </c>
      <c r="P14" s="19">
        <f t="shared" si="0"/>
        <v>0.69808027923211169</v>
      </c>
      <c r="Q14" s="19"/>
      <c r="R14" s="4" t="s">
        <v>450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6</v>
      </c>
      <c r="G15" s="73">
        <v>46171</v>
      </c>
      <c r="H15" s="18">
        <v>8058</v>
      </c>
      <c r="I15" s="17" t="s">
        <v>69</v>
      </c>
      <c r="J15" s="4" t="s">
        <v>221</v>
      </c>
      <c r="K15" s="4" t="s">
        <v>70</v>
      </c>
      <c r="L15" s="17"/>
      <c r="M15" s="85" t="s">
        <v>57</v>
      </c>
      <c r="N15" s="18">
        <v>6000</v>
      </c>
      <c r="O15" s="17" t="s">
        <v>31</v>
      </c>
      <c r="P15" s="19">
        <f t="shared" si="0"/>
        <v>0.74460163812360391</v>
      </c>
      <c r="Q15" s="19"/>
      <c r="R15" s="4" t="s">
        <v>451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1500000</v>
      </c>
      <c r="D16" s="3"/>
      <c r="E16" s="82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4"/>
      <c r="S16" s="84"/>
      <c r="T16" s="84"/>
      <c r="U16" s="84"/>
      <c r="V16" s="84"/>
      <c r="W16" s="84"/>
      <c r="X16" s="84"/>
      <c r="Y16" s="84"/>
      <c r="Z16" s="33"/>
      <c r="AA16" s="33"/>
      <c r="AB16" s="39"/>
      <c r="AC16" s="39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2"/>
      <c r="S17" s="42"/>
      <c r="T17" s="42"/>
      <c r="U17" s="42"/>
      <c r="V17" s="42"/>
      <c r="W17" s="42"/>
      <c r="X17" s="42"/>
      <c r="Y17" s="42"/>
      <c r="Z17" s="4"/>
      <c r="AA17" s="4"/>
      <c r="AB17" s="4"/>
      <c r="AC17" s="4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108" t="s">
        <v>79</v>
      </c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0"/>
      <c r="S18" s="42"/>
      <c r="T18" s="42"/>
      <c r="U18" s="42"/>
      <c r="V18" s="3"/>
      <c r="W18" s="5"/>
      <c r="X18" s="5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43" t="s">
        <v>4</v>
      </c>
      <c r="F19" s="43" t="s">
        <v>20</v>
      </c>
      <c r="G19" s="43" t="s">
        <v>21</v>
      </c>
      <c r="H19" s="43" t="s">
        <v>8</v>
      </c>
      <c r="I19" s="43" t="s">
        <v>81</v>
      </c>
      <c r="J19" s="43" t="s">
        <v>22</v>
      </c>
      <c r="K19" s="43" t="s">
        <v>10</v>
      </c>
      <c r="L19" s="43" t="s">
        <v>82</v>
      </c>
      <c r="M19" s="43" t="s">
        <v>12</v>
      </c>
      <c r="N19" s="43" t="s">
        <v>83</v>
      </c>
      <c r="O19" s="43" t="s">
        <v>84</v>
      </c>
      <c r="P19" s="43" t="s">
        <v>85</v>
      </c>
      <c r="Q19" s="43" t="s">
        <v>86</v>
      </c>
      <c r="R19" s="43" t="s">
        <v>87</v>
      </c>
      <c r="S19" s="42"/>
      <c r="T19" s="42"/>
      <c r="U19" s="42"/>
      <c r="V19" s="3"/>
      <c r="W19" s="5"/>
      <c r="X19" s="5"/>
      <c r="Y19" s="4"/>
      <c r="Z19" s="4"/>
      <c r="AA19" s="4"/>
      <c r="AB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4">
        <v>13</v>
      </c>
      <c r="F20" s="44">
        <v>7</v>
      </c>
      <c r="G20" s="45">
        <v>46178</v>
      </c>
      <c r="H20" s="46">
        <v>3654</v>
      </c>
      <c r="I20" s="46">
        <v>3288</v>
      </c>
      <c r="J20" s="44" t="s">
        <v>88</v>
      </c>
      <c r="K20" s="47">
        <v>0.75</v>
      </c>
      <c r="L20" s="48"/>
      <c r="M20" s="49" t="s">
        <v>453</v>
      </c>
      <c r="N20" s="50" t="s">
        <v>454</v>
      </c>
      <c r="O20" s="44" t="s">
        <v>455</v>
      </c>
      <c r="P20" s="46"/>
      <c r="Q20" s="51"/>
      <c r="R20" s="46"/>
      <c r="S20" s="16"/>
      <c r="T20" s="5"/>
      <c r="U20" s="4"/>
      <c r="V20" s="4"/>
      <c r="W20" s="4"/>
      <c r="X20" s="4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14</v>
      </c>
      <c r="F21" s="44">
        <v>5</v>
      </c>
      <c r="G21" s="45">
        <v>46177</v>
      </c>
      <c r="H21" s="46">
        <v>2876</v>
      </c>
      <c r="I21" s="46">
        <v>2588</v>
      </c>
      <c r="J21" s="44" t="s">
        <v>92</v>
      </c>
      <c r="K21" s="47">
        <v>0.71</v>
      </c>
      <c r="L21" s="48">
        <v>0.01</v>
      </c>
      <c r="M21" s="49" t="s">
        <v>456</v>
      </c>
      <c r="N21" s="50" t="s">
        <v>232</v>
      </c>
      <c r="O21" s="44" t="s">
        <v>457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15</v>
      </c>
      <c r="F22" s="44">
        <v>4</v>
      </c>
      <c r="G22" s="45">
        <v>46176</v>
      </c>
      <c r="H22" s="46">
        <v>4688</v>
      </c>
      <c r="I22" s="46">
        <v>4219</v>
      </c>
      <c r="J22" s="44" t="s">
        <v>96</v>
      </c>
      <c r="K22" s="47">
        <v>0.78</v>
      </c>
      <c r="L22" s="48"/>
      <c r="M22" s="49" t="s">
        <v>458</v>
      </c>
      <c r="N22" s="50" t="s">
        <v>179</v>
      </c>
      <c r="O22" s="44" t="s">
        <v>459</v>
      </c>
      <c r="P22" s="46"/>
      <c r="Q22" s="51"/>
      <c r="R22" s="46"/>
      <c r="S22" s="16" t="s">
        <v>101</v>
      </c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16</v>
      </c>
      <c r="F23" s="44">
        <v>3</v>
      </c>
      <c r="G23" s="45">
        <v>46175</v>
      </c>
      <c r="H23" s="46">
        <v>5604</v>
      </c>
      <c r="I23" s="46">
        <v>5043</v>
      </c>
      <c r="J23" s="44" t="s">
        <v>102</v>
      </c>
      <c r="K23" s="47">
        <v>0.7</v>
      </c>
      <c r="L23" s="48"/>
      <c r="M23" s="49"/>
      <c r="N23" s="50" t="s">
        <v>326</v>
      </c>
      <c r="O23" s="44" t="s">
        <v>327</v>
      </c>
      <c r="P23" s="46">
        <v>4140</v>
      </c>
      <c r="Q23" s="52">
        <f t="shared" ref="Q23:Q25" si="1">P23/H23</f>
        <v>0.73875802997858675</v>
      </c>
      <c r="R23" s="46"/>
      <c r="S23" s="3"/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17</v>
      </c>
      <c r="F24" s="44">
        <v>2</v>
      </c>
      <c r="G24" s="45">
        <v>46174</v>
      </c>
      <c r="H24" s="46">
        <v>4057</v>
      </c>
      <c r="I24" s="46">
        <v>3651</v>
      </c>
      <c r="J24" s="44" t="s">
        <v>107</v>
      </c>
      <c r="K24" s="47">
        <v>0.86</v>
      </c>
      <c r="L24" s="48"/>
      <c r="M24" s="49" t="s">
        <v>460</v>
      </c>
      <c r="N24" s="50" t="s">
        <v>461</v>
      </c>
      <c r="O24" s="44" t="s">
        <v>383</v>
      </c>
      <c r="P24" s="46">
        <v>1160</v>
      </c>
      <c r="Q24" s="52">
        <f t="shared" si="1"/>
        <v>0.28592556075918169</v>
      </c>
      <c r="R24" s="46" t="s">
        <v>106</v>
      </c>
      <c r="S24" s="3"/>
      <c r="T24" s="3"/>
      <c r="U24" s="5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17</v>
      </c>
      <c r="F25" s="44">
        <v>1</v>
      </c>
      <c r="G25" s="45">
        <v>46174</v>
      </c>
      <c r="H25" s="46">
        <v>4066</v>
      </c>
      <c r="I25" s="46">
        <v>3659</v>
      </c>
      <c r="J25" s="44" t="s">
        <v>107</v>
      </c>
      <c r="K25" s="47">
        <v>0.86</v>
      </c>
      <c r="L25" s="48"/>
      <c r="M25" s="49"/>
      <c r="N25" s="50" t="s">
        <v>459</v>
      </c>
      <c r="O25" s="50" t="s">
        <v>462</v>
      </c>
      <c r="P25" s="46">
        <v>3244</v>
      </c>
      <c r="Q25" s="52">
        <f t="shared" si="1"/>
        <v>0.79783571077225779</v>
      </c>
      <c r="R25" s="46"/>
      <c r="S25" s="3"/>
      <c r="T25" s="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M26" s="4"/>
      <c r="N26" s="4"/>
      <c r="O26" s="4"/>
      <c r="P26" s="4"/>
      <c r="Q26" s="4"/>
      <c r="R26" s="4"/>
      <c r="S26" s="16"/>
      <c r="T26" s="53"/>
      <c r="U26" s="54"/>
      <c r="V26" s="4"/>
      <c r="W26" s="4"/>
      <c r="X26" s="4"/>
      <c r="Y26" s="4"/>
      <c r="Z26" s="4"/>
      <c r="AA26" s="4"/>
      <c r="AB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4"/>
      <c r="U27" s="57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55" t="s">
        <v>110</v>
      </c>
      <c r="I28" s="56" t="s">
        <v>76</v>
      </c>
      <c r="J28" s="105" t="s">
        <v>111</v>
      </c>
      <c r="K28" s="106"/>
      <c r="L28" s="107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58" t="s">
        <v>112</v>
      </c>
      <c r="G29" s="3" t="s">
        <v>151</v>
      </c>
      <c r="H29" s="4"/>
      <c r="I29" s="3"/>
      <c r="J29" s="59" t="s">
        <v>114</v>
      </c>
      <c r="K29" s="59" t="s">
        <v>115</v>
      </c>
      <c r="L29" s="59" t="s">
        <v>116</v>
      </c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3"/>
      <c r="F30" s="55"/>
      <c r="G30" s="3"/>
      <c r="H30" s="3"/>
      <c r="I30" s="3"/>
      <c r="J30" s="3" t="s">
        <v>117</v>
      </c>
      <c r="K30" s="53"/>
      <c r="L30" s="3" t="s">
        <v>463</v>
      </c>
      <c r="M30" s="4"/>
      <c r="N30" s="4"/>
      <c r="O30" s="4"/>
      <c r="P30" s="4"/>
      <c r="Q30" s="4"/>
      <c r="R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3" t="s">
        <v>118</v>
      </c>
      <c r="F31" s="3"/>
      <c r="H31" s="3"/>
      <c r="I31" s="3"/>
      <c r="J31" s="3"/>
      <c r="K31" s="4"/>
      <c r="L31" s="53"/>
      <c r="M31" s="4"/>
      <c r="N31" s="4"/>
      <c r="O31" s="4"/>
      <c r="P31" s="4"/>
      <c r="Q31" s="4"/>
      <c r="R31" s="4"/>
      <c r="S31" s="3"/>
      <c r="T31" s="5"/>
      <c r="U31" s="4"/>
      <c r="V31" s="4"/>
      <c r="W31" s="4"/>
      <c r="X31" s="4"/>
      <c r="Y31" s="4"/>
      <c r="Z31" s="4"/>
      <c r="AA31" s="4"/>
      <c r="AB31" s="4"/>
    </row>
    <row r="32" spans="1:33" ht="19.5" customHeight="1" x14ac:dyDescent="0.2">
      <c r="A32" s="14"/>
      <c r="B32" s="3"/>
      <c r="C32" s="8"/>
      <c r="D32" s="14"/>
      <c r="E32" s="17" t="s">
        <v>119</v>
      </c>
      <c r="F32" s="3">
        <v>0</v>
      </c>
      <c r="G32" s="3"/>
      <c r="H32" s="3"/>
      <c r="I32" s="3"/>
      <c r="J32" s="3" t="s">
        <v>120</v>
      </c>
      <c r="K32" s="53"/>
      <c r="L32" s="53">
        <v>0.06</v>
      </c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122</v>
      </c>
      <c r="F33" s="3">
        <v>0</v>
      </c>
      <c r="G33" s="3"/>
      <c r="H33" s="5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"/>
      <c r="F34" s="3"/>
      <c r="G34" s="3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5" t="s">
        <v>123</v>
      </c>
      <c r="F35" s="3"/>
      <c r="G35" s="3"/>
      <c r="H35" s="53"/>
      <c r="I35" s="3"/>
      <c r="J35" s="3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61" t="s">
        <v>124</v>
      </c>
      <c r="F36" s="3">
        <v>0</v>
      </c>
      <c r="G36" s="3"/>
      <c r="H36" s="3"/>
      <c r="I36" s="3"/>
      <c r="J36" s="62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125</v>
      </c>
      <c r="F37" s="3">
        <v>0</v>
      </c>
      <c r="G37" s="3"/>
      <c r="H37" s="3"/>
      <c r="I37" s="3"/>
      <c r="J37" s="63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3"/>
      <c r="F38" s="3"/>
      <c r="G38" s="3"/>
      <c r="H38" s="3"/>
      <c r="I38" s="3"/>
      <c r="J38" s="64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126</v>
      </c>
      <c r="F39" s="55"/>
      <c r="G39" s="3"/>
      <c r="H39" s="3"/>
      <c r="J39" s="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5" t="s">
        <v>20</v>
      </c>
      <c r="F40" s="65" t="s">
        <v>127</v>
      </c>
      <c r="G40" s="65" t="s">
        <v>128</v>
      </c>
      <c r="H40" s="65" t="s">
        <v>129</v>
      </c>
      <c r="I40" s="65" t="s">
        <v>87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6" t="s">
        <v>188</v>
      </c>
      <c r="F41" s="67">
        <v>1120</v>
      </c>
      <c r="G41" s="68">
        <v>0</v>
      </c>
      <c r="H41" s="69" t="s">
        <v>131</v>
      </c>
      <c r="I41" s="68" t="s">
        <v>40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4"/>
      <c r="V41" s="4"/>
      <c r="W41" s="4"/>
      <c r="X41" s="4"/>
      <c r="Y41" s="4"/>
      <c r="Z41" s="4"/>
      <c r="AA41" s="4"/>
      <c r="AB41" s="4"/>
      <c r="AC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190</v>
      </c>
      <c r="F42" s="67">
        <v>235</v>
      </c>
      <c r="G42" s="68">
        <v>0</v>
      </c>
      <c r="H42" s="69" t="s">
        <v>131</v>
      </c>
      <c r="I42" s="68" t="s">
        <v>293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5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70" t="s">
        <v>464</v>
      </c>
      <c r="F43" s="67">
        <v>238</v>
      </c>
      <c r="G43" s="68">
        <v>0</v>
      </c>
      <c r="H43" s="69" t="s">
        <v>131</v>
      </c>
      <c r="I43" s="68" t="s">
        <v>465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6" t="s">
        <v>194</v>
      </c>
      <c r="F44" s="71">
        <v>480</v>
      </c>
      <c r="G44" s="72"/>
      <c r="H44" s="69" t="s">
        <v>131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195</v>
      </c>
      <c r="F45" s="71">
        <v>162</v>
      </c>
      <c r="G45" s="72"/>
      <c r="H45" s="69" t="s">
        <v>131</v>
      </c>
      <c r="I45" s="68"/>
      <c r="J45" s="4"/>
      <c r="K45" s="4"/>
      <c r="L45" s="4"/>
      <c r="M45" s="73"/>
      <c r="N45" s="18"/>
      <c r="O45" s="18"/>
      <c r="P45" s="17"/>
      <c r="Q45" s="74"/>
      <c r="R45" s="53"/>
      <c r="S45" s="4"/>
      <c r="T45" s="4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466</v>
      </c>
      <c r="F46" s="71">
        <v>175</v>
      </c>
      <c r="G46" s="72"/>
      <c r="H46" s="69" t="s">
        <v>131</v>
      </c>
      <c r="I46" s="68" t="s">
        <v>467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3"/>
      <c r="X46" s="5"/>
      <c r="Y46" s="5"/>
      <c r="Z46" s="5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3"/>
      <c r="V47" s="3"/>
      <c r="W47" s="3"/>
      <c r="X47" s="3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/>
      <c r="F48" s="4" t="s">
        <v>140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/>
      <c r="F49" s="4" t="s">
        <v>141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5"/>
      <c r="F50" s="4" t="s">
        <v>142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6"/>
      <c r="F51" s="4" t="s">
        <v>143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M53" s="4"/>
      <c r="N53" s="4"/>
      <c r="O53" s="4"/>
      <c r="P53" s="4"/>
      <c r="Q53" s="4"/>
      <c r="R53" s="4"/>
      <c r="S53" s="4"/>
      <c r="T53" s="5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77" t="s">
        <v>144</v>
      </c>
      <c r="U54" s="77"/>
      <c r="V54" s="18"/>
      <c r="W54" s="19"/>
      <c r="X54" s="18"/>
      <c r="Y54" s="3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4"/>
      <c r="U55" s="78"/>
      <c r="V55" s="4"/>
      <c r="W55" s="3"/>
      <c r="X55" s="3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5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4"/>
      <c r="V67" s="5"/>
      <c r="W67" s="5"/>
      <c r="X67" s="3"/>
      <c r="Y67" s="3"/>
      <c r="Z67" s="4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30:C30"/>
    <mergeCell ref="A43:C43"/>
    <mergeCell ref="P4:P5"/>
    <mergeCell ref="Q4:Q5"/>
    <mergeCell ref="R4:R5"/>
    <mergeCell ref="N4:N5"/>
    <mergeCell ref="O4:O5"/>
    <mergeCell ref="A17:C17"/>
    <mergeCell ref="E18:R18"/>
    <mergeCell ref="J28:L28"/>
  </mergeCells>
  <printOptions horizontalCentered="1"/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139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16</v>
      </c>
      <c r="G6" s="73">
        <v>46181</v>
      </c>
      <c r="H6" s="18">
        <v>10316</v>
      </c>
      <c r="I6" s="17" t="s">
        <v>28</v>
      </c>
      <c r="J6" s="4" t="s">
        <v>29</v>
      </c>
      <c r="K6" s="4" t="s">
        <v>468</v>
      </c>
      <c r="L6" s="17">
        <v>0</v>
      </c>
      <c r="M6" s="86"/>
      <c r="N6" s="18">
        <v>10316</v>
      </c>
      <c r="O6" s="17" t="s">
        <v>31</v>
      </c>
      <c r="P6" s="19">
        <f t="shared" ref="P6:P16" si="0">N6/H6</f>
        <v>1</v>
      </c>
      <c r="Q6" s="19">
        <v>0.01</v>
      </c>
      <c r="R6" s="4" t="s">
        <v>203</v>
      </c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15</v>
      </c>
      <c r="G7" s="73">
        <v>46180</v>
      </c>
      <c r="H7" s="18">
        <v>7668</v>
      </c>
      <c r="I7" s="17" t="s">
        <v>37</v>
      </c>
      <c r="J7" s="4" t="s">
        <v>38</v>
      </c>
      <c r="K7" s="4" t="s">
        <v>38</v>
      </c>
      <c r="L7" s="17"/>
      <c r="M7" s="17" t="s">
        <v>469</v>
      </c>
      <c r="N7" s="18">
        <v>7668</v>
      </c>
      <c r="O7" s="17" t="s">
        <v>31</v>
      </c>
      <c r="P7" s="19">
        <f t="shared" si="0"/>
        <v>1</v>
      </c>
      <c r="Q7" s="19">
        <v>0.04</v>
      </c>
      <c r="R7" s="4"/>
      <c r="S7" s="17" t="s">
        <v>470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129</v>
      </c>
      <c r="B8" s="16">
        <v>150000</v>
      </c>
      <c r="C8" s="24">
        <v>0.78</v>
      </c>
      <c r="D8" s="3"/>
      <c r="E8" s="60">
        <v>3</v>
      </c>
      <c r="F8" s="17">
        <v>14</v>
      </c>
      <c r="G8" s="73">
        <v>46179</v>
      </c>
      <c r="H8" s="18">
        <v>8137</v>
      </c>
      <c r="I8" s="17" t="s">
        <v>42</v>
      </c>
      <c r="J8" s="4" t="s">
        <v>43</v>
      </c>
      <c r="K8" s="4" t="s">
        <v>43</v>
      </c>
      <c r="L8" s="17"/>
      <c r="M8" s="17" t="s">
        <v>471</v>
      </c>
      <c r="N8" s="18">
        <v>8000</v>
      </c>
      <c r="O8" s="17" t="s">
        <v>31</v>
      </c>
      <c r="P8" s="19">
        <f t="shared" si="0"/>
        <v>0.98316332800786532</v>
      </c>
      <c r="Q8" s="19">
        <v>0.02</v>
      </c>
      <c r="R8" s="4"/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13</v>
      </c>
      <c r="G9" s="73">
        <v>46178</v>
      </c>
      <c r="H9" s="18">
        <v>8122</v>
      </c>
      <c r="I9" s="17" t="s">
        <v>154</v>
      </c>
      <c r="J9" s="4" t="s">
        <v>472</v>
      </c>
      <c r="K9" s="4" t="s">
        <v>473</v>
      </c>
      <c r="L9" s="17"/>
      <c r="M9" s="17" t="s">
        <v>474</v>
      </c>
      <c r="N9" s="18">
        <v>7240</v>
      </c>
      <c r="O9" s="17" t="s">
        <v>31</v>
      </c>
      <c r="P9" s="19">
        <f t="shared" si="0"/>
        <v>0.89140605762127556</v>
      </c>
      <c r="Q9" s="19">
        <v>0.05</v>
      </c>
      <c r="R9" s="4" t="s">
        <v>45</v>
      </c>
      <c r="S9" s="17" t="s">
        <v>475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12</v>
      </c>
      <c r="G10" s="73">
        <v>46177</v>
      </c>
      <c r="H10" s="18">
        <v>6783</v>
      </c>
      <c r="I10" s="17" t="s">
        <v>212</v>
      </c>
      <c r="J10" s="4" t="s">
        <v>476</v>
      </c>
      <c r="K10" s="4" t="s">
        <v>477</v>
      </c>
      <c r="L10" s="17"/>
      <c r="M10" s="17"/>
      <c r="N10" s="18">
        <v>4762</v>
      </c>
      <c r="O10" s="17" t="s">
        <v>31</v>
      </c>
      <c r="P10" s="19">
        <f t="shared" si="0"/>
        <v>0.70204924074893116</v>
      </c>
      <c r="Q10" s="19">
        <v>0.04</v>
      </c>
      <c r="R10" s="4" t="s">
        <v>252</v>
      </c>
      <c r="S10" s="17" t="s">
        <v>349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1.1100000000000001</v>
      </c>
      <c r="B11" s="16">
        <v>130000</v>
      </c>
      <c r="C11" s="8"/>
      <c r="D11" s="3"/>
      <c r="E11" s="60">
        <v>6</v>
      </c>
      <c r="F11" s="17">
        <v>11</v>
      </c>
      <c r="G11" s="73">
        <v>46176</v>
      </c>
      <c r="H11" s="18">
        <v>8265</v>
      </c>
      <c r="I11" s="17" t="s">
        <v>47</v>
      </c>
      <c r="J11" s="4" t="s">
        <v>478</v>
      </c>
      <c r="K11" s="4" t="s">
        <v>479</v>
      </c>
      <c r="L11" s="17"/>
      <c r="M11" s="17"/>
      <c r="N11" s="18">
        <v>6157</v>
      </c>
      <c r="O11" s="17" t="s">
        <v>31</v>
      </c>
      <c r="P11" s="19">
        <f t="shared" si="0"/>
        <v>0.7449485783424078</v>
      </c>
      <c r="Q11" s="19">
        <v>0.01</v>
      </c>
      <c r="R11" s="4" t="s">
        <v>261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10</v>
      </c>
      <c r="G12" s="73">
        <v>46175</v>
      </c>
      <c r="H12" s="18">
        <v>8313</v>
      </c>
      <c r="I12" s="17" t="s">
        <v>54</v>
      </c>
      <c r="J12" s="4" t="s">
        <v>480</v>
      </c>
      <c r="K12" s="4" t="s">
        <v>481</v>
      </c>
      <c r="L12" s="17"/>
      <c r="M12" s="85" t="s">
        <v>57</v>
      </c>
      <c r="N12" s="18">
        <v>6000</v>
      </c>
      <c r="O12" s="17" t="s">
        <v>31</v>
      </c>
      <c r="P12" s="19">
        <f t="shared" si="0"/>
        <v>0.72176109707686753</v>
      </c>
      <c r="Q12" s="19"/>
      <c r="R12" s="4" t="s">
        <v>482</v>
      </c>
      <c r="S12" s="17" t="s">
        <v>46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16792500</v>
      </c>
      <c r="D13" s="3"/>
      <c r="E13" s="60">
        <v>8</v>
      </c>
      <c r="F13" s="17">
        <v>9</v>
      </c>
      <c r="G13" s="73">
        <v>46174</v>
      </c>
      <c r="H13" s="18">
        <v>7541</v>
      </c>
      <c r="I13" s="17" t="s">
        <v>59</v>
      </c>
      <c r="J13" s="4" t="s">
        <v>483</v>
      </c>
      <c r="K13" s="4" t="s">
        <v>484</v>
      </c>
      <c r="L13" s="17"/>
      <c r="M13" s="85" t="s">
        <v>57</v>
      </c>
      <c r="N13" s="18">
        <v>5500</v>
      </c>
      <c r="O13" s="17" t="s">
        <v>31</v>
      </c>
      <c r="P13" s="19">
        <f t="shared" si="0"/>
        <v>0.72934624055165098</v>
      </c>
      <c r="Q13" s="19"/>
      <c r="R13" s="4" t="s">
        <v>485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14823750</v>
      </c>
      <c r="D14" s="3"/>
      <c r="E14" s="60">
        <v>9</v>
      </c>
      <c r="F14" s="17">
        <v>8</v>
      </c>
      <c r="G14" s="73">
        <v>46173</v>
      </c>
      <c r="H14" s="18">
        <v>9303</v>
      </c>
      <c r="I14" s="17" t="s">
        <v>64</v>
      </c>
      <c r="J14" s="4" t="s">
        <v>486</v>
      </c>
      <c r="K14" s="4" t="s">
        <v>487</v>
      </c>
      <c r="L14" s="17"/>
      <c r="M14" s="85" t="s">
        <v>57</v>
      </c>
      <c r="N14" s="18">
        <v>7000</v>
      </c>
      <c r="O14" s="17" t="s">
        <v>31</v>
      </c>
      <c r="P14" s="19">
        <f t="shared" si="0"/>
        <v>0.7524454477050414</v>
      </c>
      <c r="Q14" s="19">
        <v>0.01</v>
      </c>
      <c r="R14" s="4" t="s">
        <v>488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7</v>
      </c>
      <c r="G15" s="73">
        <v>46172</v>
      </c>
      <c r="H15" s="18">
        <v>8595</v>
      </c>
      <c r="I15" s="17" t="s">
        <v>69</v>
      </c>
      <c r="J15" s="4" t="s">
        <v>221</v>
      </c>
      <c r="K15" s="4" t="s">
        <v>70</v>
      </c>
      <c r="L15" s="17"/>
      <c r="M15" s="85" t="s">
        <v>57</v>
      </c>
      <c r="N15" s="18">
        <v>6000</v>
      </c>
      <c r="O15" s="17" t="s">
        <v>31</v>
      </c>
      <c r="P15" s="19">
        <f t="shared" si="0"/>
        <v>0.69808027923211169</v>
      </c>
      <c r="Q15" s="19"/>
      <c r="R15" s="4" t="s">
        <v>489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1500000</v>
      </c>
      <c r="D16" s="3"/>
      <c r="E16" s="60">
        <v>11</v>
      </c>
      <c r="F16" s="17">
        <v>6</v>
      </c>
      <c r="G16" s="73">
        <v>46171</v>
      </c>
      <c r="H16" s="18">
        <v>8058</v>
      </c>
      <c r="I16" s="17" t="s">
        <v>169</v>
      </c>
      <c r="J16" s="4" t="s">
        <v>71</v>
      </c>
      <c r="K16" s="41"/>
      <c r="L16" s="41"/>
      <c r="M16" s="85" t="s">
        <v>170</v>
      </c>
      <c r="N16" s="18">
        <v>5480</v>
      </c>
      <c r="O16" s="17" t="s">
        <v>31</v>
      </c>
      <c r="P16" s="19">
        <f t="shared" si="0"/>
        <v>0.68006949615289158</v>
      </c>
      <c r="Q16" s="41"/>
      <c r="R16" s="4" t="s">
        <v>490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8</v>
      </c>
      <c r="G21" s="45">
        <v>46181</v>
      </c>
      <c r="H21" s="46">
        <v>5480</v>
      </c>
      <c r="I21" s="46">
        <v>4932</v>
      </c>
      <c r="J21" s="44" t="s">
        <v>169</v>
      </c>
      <c r="K21" s="47">
        <v>0.68</v>
      </c>
      <c r="L21" s="88"/>
      <c r="M21" s="49"/>
      <c r="N21" s="50" t="s">
        <v>491</v>
      </c>
      <c r="O21" s="44" t="s">
        <v>492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14</v>
      </c>
      <c r="F22" s="44">
        <v>7</v>
      </c>
      <c r="G22" s="45">
        <v>46178</v>
      </c>
      <c r="H22" s="46">
        <v>3654</v>
      </c>
      <c r="I22" s="46">
        <v>3288</v>
      </c>
      <c r="J22" s="44" t="s">
        <v>92</v>
      </c>
      <c r="K22" s="47">
        <v>0.75</v>
      </c>
      <c r="L22" s="88"/>
      <c r="M22" s="49" t="s">
        <v>493</v>
      </c>
      <c r="N22" s="50" t="s">
        <v>494</v>
      </c>
      <c r="O22" s="44" t="s">
        <v>495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15</v>
      </c>
      <c r="F23" s="44">
        <v>5</v>
      </c>
      <c r="G23" s="45">
        <v>46177</v>
      </c>
      <c r="H23" s="46">
        <v>2876</v>
      </c>
      <c r="I23" s="46">
        <v>2588</v>
      </c>
      <c r="J23" s="44" t="s">
        <v>96</v>
      </c>
      <c r="K23" s="47">
        <v>0.71</v>
      </c>
      <c r="L23" s="48"/>
      <c r="M23" s="49" t="s">
        <v>496</v>
      </c>
      <c r="N23" s="50" t="s">
        <v>497</v>
      </c>
      <c r="O23" s="44" t="s">
        <v>498</v>
      </c>
      <c r="P23" s="46"/>
      <c r="Q23" s="51"/>
      <c r="R23" s="46" t="s">
        <v>100</v>
      </c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16</v>
      </c>
      <c r="F24" s="44">
        <v>4</v>
      </c>
      <c r="G24" s="45">
        <v>46176</v>
      </c>
      <c r="H24" s="46">
        <v>4688</v>
      </c>
      <c r="I24" s="46">
        <v>4219</v>
      </c>
      <c r="J24" s="44" t="s">
        <v>102</v>
      </c>
      <c r="K24" s="47">
        <v>0.78</v>
      </c>
      <c r="L24" s="48"/>
      <c r="M24" s="49" t="s">
        <v>499</v>
      </c>
      <c r="N24" s="50" t="s">
        <v>500</v>
      </c>
      <c r="O24" s="44" t="s">
        <v>501</v>
      </c>
      <c r="P24" s="46">
        <v>1110</v>
      </c>
      <c r="Q24" s="52">
        <f t="shared" ref="Q24:Q25" si="1">P24/H24</f>
        <v>0.23677474402730375</v>
      </c>
      <c r="R24" s="46" t="s">
        <v>106</v>
      </c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18</v>
      </c>
      <c r="F25" s="44">
        <v>2</v>
      </c>
      <c r="G25" s="45">
        <v>46174</v>
      </c>
      <c r="H25" s="46">
        <v>4057</v>
      </c>
      <c r="I25" s="46">
        <v>3651</v>
      </c>
      <c r="J25" s="44" t="s">
        <v>282</v>
      </c>
      <c r="K25" s="47">
        <v>0.86</v>
      </c>
      <c r="L25" s="48"/>
      <c r="M25" s="49"/>
      <c r="N25" s="50" t="s">
        <v>502</v>
      </c>
      <c r="O25" s="44" t="s">
        <v>503</v>
      </c>
      <c r="P25" s="46">
        <v>3492</v>
      </c>
      <c r="Q25" s="52">
        <f t="shared" si="1"/>
        <v>0.86073453290608826</v>
      </c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M26" s="4"/>
      <c r="N26" s="4"/>
      <c r="O26" s="4"/>
      <c r="P26" s="4"/>
      <c r="Q26" s="4"/>
      <c r="R26" s="4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55" t="s">
        <v>110</v>
      </c>
      <c r="I28" s="56" t="s">
        <v>76</v>
      </c>
      <c r="J28" s="105" t="s">
        <v>111</v>
      </c>
      <c r="K28" s="106"/>
      <c r="L28" s="107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58" t="s">
        <v>112</v>
      </c>
      <c r="G29" s="3" t="s">
        <v>504</v>
      </c>
      <c r="H29" s="4"/>
      <c r="I29" s="3"/>
      <c r="J29" s="59" t="s">
        <v>114</v>
      </c>
      <c r="K29" s="59" t="s">
        <v>115</v>
      </c>
      <c r="L29" s="59" t="s">
        <v>116</v>
      </c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3"/>
      <c r="F30" s="55"/>
      <c r="G30" s="3"/>
      <c r="H30" s="3"/>
      <c r="I30" s="3"/>
      <c r="J30" s="3" t="s">
        <v>117</v>
      </c>
      <c r="K30" s="53"/>
      <c r="L30" s="53">
        <v>0.04</v>
      </c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3" t="s">
        <v>118</v>
      </c>
      <c r="F31" s="3"/>
      <c r="H31" s="3"/>
      <c r="I31" s="3"/>
      <c r="J31" s="3"/>
      <c r="K31" s="4"/>
      <c r="L31" s="53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17" t="s">
        <v>119</v>
      </c>
      <c r="F32" s="3">
        <v>0</v>
      </c>
      <c r="G32" s="3"/>
      <c r="H32" s="3"/>
      <c r="I32" s="3"/>
      <c r="J32" s="3" t="s">
        <v>120</v>
      </c>
      <c r="K32" s="53"/>
      <c r="L32" s="3" t="s">
        <v>336</v>
      </c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122</v>
      </c>
      <c r="F33" s="3">
        <v>0</v>
      </c>
      <c r="G33" s="3"/>
      <c r="H33" s="5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"/>
      <c r="F34" s="3"/>
      <c r="G34" s="3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5" t="s">
        <v>123</v>
      </c>
      <c r="F35" s="3"/>
      <c r="G35" s="3"/>
      <c r="H35" s="53"/>
      <c r="I35" s="3"/>
      <c r="J35" s="3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61" t="s">
        <v>124</v>
      </c>
      <c r="F36" s="3">
        <v>0</v>
      </c>
      <c r="G36" s="3"/>
      <c r="H36" s="3"/>
      <c r="I36" s="3"/>
      <c r="J36" s="62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125</v>
      </c>
      <c r="F37" s="3" t="s">
        <v>505</v>
      </c>
      <c r="G37" s="3"/>
      <c r="H37" s="3"/>
      <c r="I37" s="3"/>
      <c r="J37" s="63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3"/>
      <c r="F38" s="3"/>
      <c r="G38" s="3"/>
      <c r="H38" s="3"/>
      <c r="I38" s="3"/>
      <c r="J38" s="64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126</v>
      </c>
      <c r="F39" s="55"/>
      <c r="G39" s="3"/>
      <c r="H39" s="3"/>
      <c r="J39" s="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5" t="s">
        <v>20</v>
      </c>
      <c r="F40" s="65" t="s">
        <v>127</v>
      </c>
      <c r="G40" s="65" t="s">
        <v>128</v>
      </c>
      <c r="H40" s="65" t="s">
        <v>129</v>
      </c>
      <c r="I40" s="65" t="s">
        <v>87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6" t="s">
        <v>241</v>
      </c>
      <c r="F41" s="67">
        <v>1120</v>
      </c>
      <c r="G41" s="68">
        <v>0</v>
      </c>
      <c r="H41" s="69" t="s">
        <v>131</v>
      </c>
      <c r="I41" s="68" t="s">
        <v>40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242</v>
      </c>
      <c r="F42" s="67">
        <v>325</v>
      </c>
      <c r="G42" s="68">
        <v>0</v>
      </c>
      <c r="H42" s="69" t="s">
        <v>131</v>
      </c>
      <c r="I42" s="68" t="s">
        <v>339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70" t="s">
        <v>134</v>
      </c>
      <c r="F43" s="67">
        <v>348</v>
      </c>
      <c r="G43" s="68">
        <v>0</v>
      </c>
      <c r="H43" s="69" t="s">
        <v>131</v>
      </c>
      <c r="I43" s="68" t="s">
        <v>133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6" t="s">
        <v>244</v>
      </c>
      <c r="F44" s="71">
        <v>480</v>
      </c>
      <c r="G44" s="72"/>
      <c r="H44" s="69" t="s">
        <v>131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245</v>
      </c>
      <c r="F45" s="71">
        <v>153</v>
      </c>
      <c r="G45" s="72"/>
      <c r="H45" s="69" t="s">
        <v>131</v>
      </c>
      <c r="I45" s="68"/>
      <c r="J45" s="4"/>
      <c r="K45" s="4"/>
      <c r="L45" s="4"/>
      <c r="M45" s="73"/>
      <c r="N45" s="18"/>
      <c r="O45" s="18"/>
      <c r="P45" s="17"/>
      <c r="Q45" s="74"/>
      <c r="R45" s="53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139</v>
      </c>
      <c r="F46" s="71">
        <v>168</v>
      </c>
      <c r="G46" s="72"/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/>
      <c r="F48" s="4" t="s">
        <v>140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/>
      <c r="F49" s="4" t="s">
        <v>141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5"/>
      <c r="F50" s="4" t="s">
        <v>142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6"/>
      <c r="F51" s="4" t="s">
        <v>143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30:C30"/>
    <mergeCell ref="A43:C43"/>
    <mergeCell ref="P4:P5"/>
    <mergeCell ref="Q4:Q5"/>
    <mergeCell ref="R4:R5"/>
    <mergeCell ref="N4:N5"/>
    <mergeCell ref="O4:O5"/>
    <mergeCell ref="A17:C17"/>
    <mergeCell ref="E19:R19"/>
    <mergeCell ref="J28:L28"/>
  </mergeCells>
  <printOptions horizontalCentered="1"/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141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17</v>
      </c>
      <c r="G6" s="73">
        <v>46182</v>
      </c>
      <c r="H6" s="18">
        <v>9416</v>
      </c>
      <c r="I6" s="17" t="s">
        <v>28</v>
      </c>
      <c r="J6" s="4" t="s">
        <v>29</v>
      </c>
      <c r="K6" s="4" t="s">
        <v>506</v>
      </c>
      <c r="L6" s="17" t="s">
        <v>507</v>
      </c>
      <c r="M6" s="86"/>
      <c r="N6" s="18">
        <v>9416</v>
      </c>
      <c r="O6" s="17" t="s">
        <v>31</v>
      </c>
      <c r="P6" s="19">
        <f t="shared" ref="P6:P16" si="0">N6/H6</f>
        <v>1</v>
      </c>
      <c r="Q6" s="19">
        <v>0.06</v>
      </c>
      <c r="R6" s="4" t="s">
        <v>508</v>
      </c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16</v>
      </c>
      <c r="G7" s="73">
        <v>46181</v>
      </c>
      <c r="H7" s="18">
        <v>10316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10316</v>
      </c>
      <c r="O7" s="17" t="s">
        <v>31</v>
      </c>
      <c r="P7" s="19">
        <f t="shared" si="0"/>
        <v>1</v>
      </c>
      <c r="Q7" s="19">
        <v>0.02</v>
      </c>
      <c r="R7" s="4" t="s">
        <v>40</v>
      </c>
      <c r="S7" s="17" t="s">
        <v>470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118</v>
      </c>
      <c r="B8" s="16">
        <v>218000</v>
      </c>
      <c r="C8" s="24">
        <v>0.63</v>
      </c>
      <c r="D8" s="3"/>
      <c r="E8" s="60">
        <v>3</v>
      </c>
      <c r="F8" s="17">
        <v>15</v>
      </c>
      <c r="G8" s="73">
        <v>46180</v>
      </c>
      <c r="H8" s="18">
        <v>7668</v>
      </c>
      <c r="I8" s="17" t="s">
        <v>42</v>
      </c>
      <c r="J8" s="4" t="s">
        <v>43</v>
      </c>
      <c r="K8" s="4" t="s">
        <v>43</v>
      </c>
      <c r="L8" s="17"/>
      <c r="M8" s="17" t="s">
        <v>151</v>
      </c>
      <c r="N8" s="18">
        <v>7540</v>
      </c>
      <c r="O8" s="17" t="s">
        <v>31</v>
      </c>
      <c r="P8" s="19">
        <f t="shared" si="0"/>
        <v>0.98330725091288473</v>
      </c>
      <c r="Q8" s="19">
        <v>0.02</v>
      </c>
      <c r="R8" s="4" t="s">
        <v>45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14</v>
      </c>
      <c r="G9" s="73">
        <v>46179</v>
      </c>
      <c r="H9" s="18">
        <v>8137</v>
      </c>
      <c r="I9" s="17" t="s">
        <v>154</v>
      </c>
      <c r="J9" s="4" t="s">
        <v>209</v>
      </c>
      <c r="K9" s="4" t="s">
        <v>509</v>
      </c>
      <c r="L9" s="17"/>
      <c r="M9" s="17" t="s">
        <v>151</v>
      </c>
      <c r="N9" s="18">
        <v>7568</v>
      </c>
      <c r="O9" s="17" t="s">
        <v>31</v>
      </c>
      <c r="P9" s="19">
        <f t="shared" si="0"/>
        <v>0.93007250829544053</v>
      </c>
      <c r="Q9" s="19">
        <v>7.0000000000000007E-2</v>
      </c>
      <c r="R9" s="4" t="s">
        <v>40</v>
      </c>
      <c r="S9" s="17" t="s">
        <v>475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13</v>
      </c>
      <c r="G10" s="73">
        <v>46178</v>
      </c>
      <c r="H10" s="18">
        <v>8122</v>
      </c>
      <c r="I10" s="17" t="s">
        <v>212</v>
      </c>
      <c r="J10" s="4" t="s">
        <v>510</v>
      </c>
      <c r="K10" s="4" t="s">
        <v>511</v>
      </c>
      <c r="L10" s="17"/>
      <c r="M10" s="17"/>
      <c r="N10" s="18">
        <v>5429</v>
      </c>
      <c r="O10" s="17" t="s">
        <v>31</v>
      </c>
      <c r="P10" s="19">
        <f t="shared" si="0"/>
        <v>0.66843142083230733</v>
      </c>
      <c r="Q10" s="19">
        <v>7.0000000000000007E-2</v>
      </c>
      <c r="R10" s="4" t="s">
        <v>512</v>
      </c>
      <c r="S10" s="17" t="s">
        <v>349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0.89</v>
      </c>
      <c r="B11" s="16">
        <v>124000</v>
      </c>
      <c r="C11" s="8"/>
      <c r="D11" s="3"/>
      <c r="E11" s="60">
        <v>6</v>
      </c>
      <c r="F11" s="17">
        <v>12</v>
      </c>
      <c r="G11" s="73">
        <v>46177</v>
      </c>
      <c r="H11" s="18">
        <v>6783</v>
      </c>
      <c r="I11" s="17" t="s">
        <v>47</v>
      </c>
      <c r="J11" s="4" t="s">
        <v>513</v>
      </c>
      <c r="K11" s="4" t="s">
        <v>514</v>
      </c>
      <c r="L11" s="17"/>
      <c r="M11" s="17"/>
      <c r="N11" s="18">
        <v>5264</v>
      </c>
      <c r="O11" s="17" t="s">
        <v>31</v>
      </c>
      <c r="P11" s="19">
        <f t="shared" si="0"/>
        <v>0.77605779153766774</v>
      </c>
      <c r="Q11" s="19">
        <v>0.02</v>
      </c>
      <c r="R11" s="4" t="s">
        <v>515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11</v>
      </c>
      <c r="G12" s="73">
        <v>46176</v>
      </c>
      <c r="H12" s="18">
        <v>8265</v>
      </c>
      <c r="I12" s="17" t="s">
        <v>54</v>
      </c>
      <c r="J12" s="4" t="s">
        <v>516</v>
      </c>
      <c r="K12" s="4" t="s">
        <v>517</v>
      </c>
      <c r="L12" s="17"/>
      <c r="M12" s="85" t="s">
        <v>57</v>
      </c>
      <c r="N12" s="18">
        <v>6000</v>
      </c>
      <c r="O12" s="17" t="s">
        <v>31</v>
      </c>
      <c r="P12" s="19">
        <f t="shared" si="0"/>
        <v>0.72595281306715065</v>
      </c>
      <c r="Q12" s="19"/>
      <c r="R12" s="4" t="s">
        <v>518</v>
      </c>
      <c r="S12" s="17" t="s">
        <v>46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14673790</v>
      </c>
      <c r="D13" s="3"/>
      <c r="E13" s="60">
        <v>8</v>
      </c>
      <c r="F13" s="17">
        <v>10</v>
      </c>
      <c r="G13" s="73">
        <v>46175</v>
      </c>
      <c r="H13" s="18">
        <v>8313</v>
      </c>
      <c r="I13" s="17" t="s">
        <v>59</v>
      </c>
      <c r="J13" s="4" t="s">
        <v>519</v>
      </c>
      <c r="K13" s="4" t="s">
        <v>520</v>
      </c>
      <c r="L13" s="17"/>
      <c r="M13" s="85" t="s">
        <v>57</v>
      </c>
      <c r="N13" s="18">
        <v>6000</v>
      </c>
      <c r="O13" s="17" t="s">
        <v>31</v>
      </c>
      <c r="P13" s="19">
        <f t="shared" si="0"/>
        <v>0.72176109707686753</v>
      </c>
      <c r="Q13" s="19"/>
      <c r="R13" s="4" t="s">
        <v>521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11580000</v>
      </c>
      <c r="D14" s="3"/>
      <c r="E14" s="60">
        <v>9</v>
      </c>
      <c r="F14" s="17">
        <v>9</v>
      </c>
      <c r="G14" s="73">
        <v>46174</v>
      </c>
      <c r="H14" s="18">
        <v>7541</v>
      </c>
      <c r="I14" s="17" t="s">
        <v>64</v>
      </c>
      <c r="J14" s="4" t="s">
        <v>522</v>
      </c>
      <c r="K14" s="4" t="s">
        <v>221</v>
      </c>
      <c r="L14" s="17"/>
      <c r="M14" s="85" t="s">
        <v>57</v>
      </c>
      <c r="N14" s="18">
        <v>4500</v>
      </c>
      <c r="O14" s="17" t="s">
        <v>31</v>
      </c>
      <c r="P14" s="19">
        <f t="shared" si="0"/>
        <v>0.5967378331786235</v>
      </c>
      <c r="Q14" s="19">
        <v>0.01</v>
      </c>
      <c r="R14" s="4" t="s">
        <v>523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8</v>
      </c>
      <c r="G15" s="73">
        <v>46173</v>
      </c>
      <c r="H15" s="18">
        <v>9303</v>
      </c>
      <c r="I15" s="17" t="s">
        <v>69</v>
      </c>
      <c r="J15" s="4" t="s">
        <v>219</v>
      </c>
      <c r="K15" s="4" t="s">
        <v>70</v>
      </c>
      <c r="L15" s="17"/>
      <c r="M15" s="85" t="s">
        <v>57</v>
      </c>
      <c r="N15" s="18">
        <v>7000</v>
      </c>
      <c r="O15" s="17" t="s">
        <v>31</v>
      </c>
      <c r="P15" s="19">
        <f t="shared" si="0"/>
        <v>0.7524454477050414</v>
      </c>
      <c r="Q15" s="19">
        <v>0.01</v>
      </c>
      <c r="R15" s="4" t="s">
        <v>524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3000000</v>
      </c>
      <c r="D16" s="3"/>
      <c r="E16" s="60">
        <v>11</v>
      </c>
      <c r="F16" s="17">
        <v>7</v>
      </c>
      <c r="G16" s="73">
        <v>46172</v>
      </c>
      <c r="H16" s="18">
        <v>8595</v>
      </c>
      <c r="I16" s="17" t="s">
        <v>169</v>
      </c>
      <c r="J16" s="4" t="s">
        <v>71</v>
      </c>
      <c r="K16" s="41"/>
      <c r="L16" s="41"/>
      <c r="M16" s="85" t="s">
        <v>170</v>
      </c>
      <c r="N16" s="18">
        <v>6007</v>
      </c>
      <c r="O16" s="17" t="s">
        <v>31</v>
      </c>
      <c r="P16" s="19">
        <f t="shared" si="0"/>
        <v>0.69889470622454919</v>
      </c>
      <c r="Q16" s="41"/>
      <c r="R16" s="4" t="s">
        <v>525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9</v>
      </c>
      <c r="G21" s="45">
        <v>46182</v>
      </c>
      <c r="H21" s="46">
        <v>6007</v>
      </c>
      <c r="I21" s="46">
        <v>5406</v>
      </c>
      <c r="J21" s="44" t="s">
        <v>169</v>
      </c>
      <c r="K21" s="47">
        <v>0.7</v>
      </c>
      <c r="L21" s="88"/>
      <c r="M21" s="49"/>
      <c r="N21" s="50" t="s">
        <v>491</v>
      </c>
      <c r="O21" s="44" t="s">
        <v>526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8</v>
      </c>
      <c r="G22" s="45">
        <v>46181</v>
      </c>
      <c r="H22" s="46">
        <v>5480</v>
      </c>
      <c r="I22" s="46">
        <v>4932</v>
      </c>
      <c r="J22" s="44" t="s">
        <v>226</v>
      </c>
      <c r="K22" s="47">
        <v>0.68</v>
      </c>
      <c r="L22" s="48">
        <v>0.02</v>
      </c>
      <c r="M22" s="49" t="s">
        <v>527</v>
      </c>
      <c r="N22" s="50" t="s">
        <v>528</v>
      </c>
      <c r="O22" s="44" t="s">
        <v>230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15</v>
      </c>
      <c r="F23" s="44">
        <v>7</v>
      </c>
      <c r="G23" s="45">
        <v>46178</v>
      </c>
      <c r="H23" s="46">
        <v>3654</v>
      </c>
      <c r="I23" s="46">
        <v>3288</v>
      </c>
      <c r="J23" s="44" t="s">
        <v>96</v>
      </c>
      <c r="K23" s="47">
        <v>0.75</v>
      </c>
      <c r="L23" s="88"/>
      <c r="M23" s="49" t="s">
        <v>529</v>
      </c>
      <c r="N23" s="50" t="s">
        <v>277</v>
      </c>
      <c r="O23" s="44" t="s">
        <v>530</v>
      </c>
      <c r="P23" s="46"/>
      <c r="Q23" s="51"/>
      <c r="R23" s="46" t="s">
        <v>100</v>
      </c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16</v>
      </c>
      <c r="F24" s="44">
        <v>5</v>
      </c>
      <c r="G24" s="45">
        <v>46177</v>
      </c>
      <c r="H24" s="46">
        <v>2876</v>
      </c>
      <c r="I24" s="46">
        <v>2588</v>
      </c>
      <c r="J24" s="44" t="s">
        <v>102</v>
      </c>
      <c r="K24" s="47">
        <v>0.71</v>
      </c>
      <c r="L24" s="48"/>
      <c r="M24" s="49" t="s">
        <v>531</v>
      </c>
      <c r="N24" s="50" t="s">
        <v>532</v>
      </c>
      <c r="O24" s="44" t="s">
        <v>533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17</v>
      </c>
      <c r="F25" s="44">
        <v>4</v>
      </c>
      <c r="G25" s="45">
        <v>46176</v>
      </c>
      <c r="H25" s="46">
        <v>4688</v>
      </c>
      <c r="I25" s="46">
        <v>4219</v>
      </c>
      <c r="J25" s="44" t="s">
        <v>107</v>
      </c>
      <c r="K25" s="47">
        <v>0.78</v>
      </c>
      <c r="L25" s="48"/>
      <c r="M25" s="49"/>
      <c r="N25" s="50" t="s">
        <v>534</v>
      </c>
      <c r="O25" s="44" t="s">
        <v>535</v>
      </c>
      <c r="P25" s="46">
        <v>3331</v>
      </c>
      <c r="Q25" s="52">
        <f>P25/H25</f>
        <v>0.710537542662116</v>
      </c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M26" s="4"/>
      <c r="N26" s="4"/>
      <c r="O26" s="4"/>
      <c r="P26" s="4"/>
      <c r="Q26" s="4"/>
      <c r="R26" s="4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55" t="s">
        <v>110</v>
      </c>
      <c r="I28" s="56" t="s">
        <v>76</v>
      </c>
      <c r="J28" s="105" t="s">
        <v>111</v>
      </c>
      <c r="K28" s="106"/>
      <c r="L28" s="107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58" t="s">
        <v>112</v>
      </c>
      <c r="F29" s="89"/>
      <c r="G29" s="17" t="s">
        <v>151</v>
      </c>
      <c r="H29" s="4"/>
      <c r="I29" s="3"/>
      <c r="J29" s="59" t="s">
        <v>114</v>
      </c>
      <c r="K29" s="59" t="s">
        <v>115</v>
      </c>
      <c r="L29" s="59" t="s">
        <v>116</v>
      </c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3"/>
      <c r="F30" s="42"/>
      <c r="G30" s="17"/>
      <c r="H30" s="3"/>
      <c r="I30" s="3"/>
      <c r="J30" s="3" t="s">
        <v>117</v>
      </c>
      <c r="K30" s="53"/>
      <c r="L30" s="53">
        <v>0.04</v>
      </c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3" t="s">
        <v>118</v>
      </c>
      <c r="F31" s="17"/>
      <c r="G31" s="89"/>
      <c r="H31" s="3"/>
      <c r="I31" s="3"/>
      <c r="J31" s="3"/>
      <c r="K31" s="4"/>
      <c r="L31" s="53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17" t="s">
        <v>119</v>
      </c>
      <c r="F32" s="17" t="s">
        <v>507</v>
      </c>
      <c r="G32" s="17"/>
      <c r="H32" s="3"/>
      <c r="I32" s="3"/>
      <c r="J32" s="3" t="s">
        <v>120</v>
      </c>
      <c r="K32" s="53"/>
      <c r="L32" s="3" t="s">
        <v>336</v>
      </c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122</v>
      </c>
      <c r="F33" s="17">
        <v>0</v>
      </c>
      <c r="G33" s="17"/>
      <c r="H33" s="5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"/>
      <c r="F34" s="17"/>
      <c r="G34" s="17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5" t="s">
        <v>123</v>
      </c>
      <c r="F35" s="17"/>
      <c r="G35" s="17"/>
      <c r="H35" s="53"/>
      <c r="I35" s="3"/>
      <c r="J35" s="3"/>
      <c r="K35" s="17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61" t="s">
        <v>124</v>
      </c>
      <c r="F36" s="17" t="s">
        <v>536</v>
      </c>
      <c r="G36" s="17"/>
      <c r="H36" s="3"/>
      <c r="I36" s="3"/>
      <c r="J36" s="62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125</v>
      </c>
      <c r="F37" s="17" t="s">
        <v>151</v>
      </c>
      <c r="G37" s="17"/>
      <c r="H37" s="3"/>
      <c r="I37" s="3"/>
      <c r="J37" s="63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3"/>
      <c r="F38" s="3"/>
      <c r="G38" s="3"/>
      <c r="H38" s="3"/>
      <c r="I38" s="3"/>
      <c r="J38" s="64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126</v>
      </c>
      <c r="F39" s="55"/>
      <c r="G39" s="3"/>
      <c r="H39" s="3"/>
      <c r="J39" s="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5" t="s">
        <v>20</v>
      </c>
      <c r="F40" s="65" t="s">
        <v>127</v>
      </c>
      <c r="G40" s="65" t="s">
        <v>128</v>
      </c>
      <c r="H40" s="65" t="s">
        <v>129</v>
      </c>
      <c r="I40" s="65" t="s">
        <v>87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6" t="s">
        <v>287</v>
      </c>
      <c r="F41" s="67">
        <v>1120</v>
      </c>
      <c r="G41" s="68">
        <v>0</v>
      </c>
      <c r="H41" s="69" t="s">
        <v>131</v>
      </c>
      <c r="I41" s="68" t="s">
        <v>40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70" t="s">
        <v>288</v>
      </c>
      <c r="F42" s="67">
        <v>275</v>
      </c>
      <c r="G42" s="68">
        <v>0</v>
      </c>
      <c r="H42" s="69" t="s">
        <v>131</v>
      </c>
      <c r="I42" s="68" t="s">
        <v>537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70" t="s">
        <v>192</v>
      </c>
      <c r="F43" s="67">
        <v>280</v>
      </c>
      <c r="G43" s="68">
        <v>0</v>
      </c>
      <c r="H43" s="69" t="s">
        <v>131</v>
      </c>
      <c r="I43" s="68" t="s">
        <v>40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6" t="s">
        <v>291</v>
      </c>
      <c r="F44" s="71">
        <v>480</v>
      </c>
      <c r="G44" s="72"/>
      <c r="H44" s="69" t="s">
        <v>131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292</v>
      </c>
      <c r="F45" s="71">
        <v>165</v>
      </c>
      <c r="G45" s="72"/>
      <c r="H45" s="69" t="s">
        <v>131</v>
      </c>
      <c r="I45" s="68" t="s">
        <v>40</v>
      </c>
      <c r="J45" s="4"/>
      <c r="K45" s="4"/>
      <c r="L45" s="4"/>
      <c r="M45" s="73"/>
      <c r="N45" s="18"/>
      <c r="O45" s="18"/>
      <c r="P45" s="17"/>
      <c r="Q45" s="74"/>
      <c r="R45" s="53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197</v>
      </c>
      <c r="F46" s="71">
        <v>175</v>
      </c>
      <c r="G46" s="72"/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/>
      <c r="F48" s="4" t="s">
        <v>140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/>
      <c r="F49" s="4" t="s">
        <v>141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5"/>
      <c r="F50" s="4" t="s">
        <v>142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6"/>
      <c r="F51" s="4" t="s">
        <v>143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E71" s="4"/>
      <c r="F71" s="4"/>
      <c r="G71" s="4"/>
      <c r="H71" s="4"/>
      <c r="I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30:C30"/>
    <mergeCell ref="A43:C43"/>
    <mergeCell ref="P4:P5"/>
    <mergeCell ref="Q4:Q5"/>
    <mergeCell ref="R4:R5"/>
    <mergeCell ref="N4:N5"/>
    <mergeCell ref="O4:O5"/>
    <mergeCell ref="A17:C17"/>
    <mergeCell ref="E19:R19"/>
    <mergeCell ref="J28:L28"/>
  </mergeCells>
  <printOptions horizontalCentered="1"/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134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18</v>
      </c>
      <c r="G6" s="73">
        <v>46183</v>
      </c>
      <c r="H6" s="18">
        <v>9352</v>
      </c>
      <c r="I6" s="17" t="s">
        <v>28</v>
      </c>
      <c r="J6" s="4" t="s">
        <v>29</v>
      </c>
      <c r="K6" s="4" t="s">
        <v>538</v>
      </c>
      <c r="L6" s="17">
        <v>0</v>
      </c>
      <c r="M6" s="86"/>
      <c r="N6" s="18">
        <v>9352</v>
      </c>
      <c r="O6" s="17" t="s">
        <v>31</v>
      </c>
      <c r="P6" s="19">
        <f t="shared" ref="P6:P16" si="0">N6/H6</f>
        <v>1</v>
      </c>
      <c r="Q6" s="19">
        <v>0.05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17</v>
      </c>
      <c r="G7" s="73">
        <v>46182</v>
      </c>
      <c r="H7" s="18">
        <v>9416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9416</v>
      </c>
      <c r="O7" s="17" t="s">
        <v>31</v>
      </c>
      <c r="P7" s="19">
        <f t="shared" si="0"/>
        <v>1</v>
      </c>
      <c r="Q7" s="19">
        <v>0.03</v>
      </c>
      <c r="R7" s="4" t="s">
        <v>40</v>
      </c>
      <c r="S7" s="17" t="s">
        <v>539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123</v>
      </c>
      <c r="B8" s="16">
        <v>223000</v>
      </c>
      <c r="C8" s="24">
        <v>0.57999999999999996</v>
      </c>
      <c r="D8" s="3"/>
      <c r="E8" s="60">
        <v>3</v>
      </c>
      <c r="F8" s="17">
        <v>16</v>
      </c>
      <c r="G8" s="73">
        <v>46181</v>
      </c>
      <c r="H8" s="18">
        <v>10316</v>
      </c>
      <c r="I8" s="17" t="s">
        <v>42</v>
      </c>
      <c r="J8" s="4" t="s">
        <v>150</v>
      </c>
      <c r="K8" s="4" t="s">
        <v>43</v>
      </c>
      <c r="L8" s="17"/>
      <c r="M8" s="17" t="s">
        <v>151</v>
      </c>
      <c r="N8" s="18">
        <v>10000</v>
      </c>
      <c r="O8" s="17" t="s">
        <v>31</v>
      </c>
      <c r="P8" s="19">
        <f t="shared" si="0"/>
        <v>0.96936797208220238</v>
      </c>
      <c r="Q8" s="19">
        <v>0.01</v>
      </c>
      <c r="R8" s="4" t="s">
        <v>540</v>
      </c>
      <c r="S8" s="17" t="s">
        <v>46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15</v>
      </c>
      <c r="G9" s="73">
        <v>46180</v>
      </c>
      <c r="H9" s="18">
        <v>7668</v>
      </c>
      <c r="I9" s="17" t="s">
        <v>154</v>
      </c>
      <c r="J9" s="4" t="s">
        <v>396</v>
      </c>
      <c r="K9" s="4" t="s">
        <v>209</v>
      </c>
      <c r="L9" s="17"/>
      <c r="M9" s="17" t="s">
        <v>151</v>
      </c>
      <c r="N9" s="18">
        <v>7450</v>
      </c>
      <c r="O9" s="17" t="s">
        <v>31</v>
      </c>
      <c r="P9" s="19">
        <f t="shared" si="0"/>
        <v>0.97157016171100674</v>
      </c>
      <c r="Q9" s="19">
        <v>0.05</v>
      </c>
      <c r="R9" s="4" t="s">
        <v>541</v>
      </c>
      <c r="S9" s="17" t="s">
        <v>349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14</v>
      </c>
      <c r="G10" s="73">
        <v>46179</v>
      </c>
      <c r="H10" s="18">
        <v>8137</v>
      </c>
      <c r="I10" s="17" t="s">
        <v>212</v>
      </c>
      <c r="J10" s="4" t="s">
        <v>542</v>
      </c>
      <c r="K10" s="4" t="s">
        <v>543</v>
      </c>
      <c r="L10" s="17"/>
      <c r="M10" s="17"/>
      <c r="N10" s="18">
        <v>7450</v>
      </c>
      <c r="O10" s="17" t="s">
        <v>31</v>
      </c>
      <c r="P10" s="19">
        <f t="shared" si="0"/>
        <v>0.91557084920732457</v>
      </c>
      <c r="Q10" s="19">
        <v>0.03</v>
      </c>
      <c r="R10" s="4" t="s">
        <v>40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1.01</v>
      </c>
      <c r="B11" s="16">
        <v>132000</v>
      </c>
      <c r="C11" s="8"/>
      <c r="D11" s="3"/>
      <c r="E11" s="60">
        <v>6</v>
      </c>
      <c r="F11" s="17">
        <v>13</v>
      </c>
      <c r="G11" s="73">
        <v>46178</v>
      </c>
      <c r="H11" s="18">
        <v>8122</v>
      </c>
      <c r="I11" s="17" t="s">
        <v>47</v>
      </c>
      <c r="J11" s="4" t="s">
        <v>544</v>
      </c>
      <c r="K11" s="4" t="s">
        <v>545</v>
      </c>
      <c r="L11" s="17"/>
      <c r="M11" s="17"/>
      <c r="N11" s="18">
        <v>5120</v>
      </c>
      <c r="O11" s="17" t="s">
        <v>31</v>
      </c>
      <c r="P11" s="19">
        <f t="shared" si="0"/>
        <v>0.63038660428465898</v>
      </c>
      <c r="Q11" s="19">
        <v>0.03</v>
      </c>
      <c r="R11" s="4" t="s">
        <v>546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12</v>
      </c>
      <c r="G12" s="73">
        <v>46177</v>
      </c>
      <c r="H12" s="18">
        <v>6783</v>
      </c>
      <c r="I12" s="17" t="s">
        <v>54</v>
      </c>
      <c r="J12" s="4" t="s">
        <v>547</v>
      </c>
      <c r="K12" s="4" t="s">
        <v>548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0.73713696004717677</v>
      </c>
      <c r="Q12" s="19"/>
      <c r="R12" s="4" t="s">
        <v>549</v>
      </c>
      <c r="S12" s="17" t="s">
        <v>46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16267500</v>
      </c>
      <c r="D13" s="3"/>
      <c r="E13" s="60">
        <v>8</v>
      </c>
      <c r="F13" s="17">
        <v>11</v>
      </c>
      <c r="G13" s="73">
        <v>46176</v>
      </c>
      <c r="H13" s="18">
        <v>8265</v>
      </c>
      <c r="I13" s="17" t="s">
        <v>59</v>
      </c>
      <c r="J13" s="4" t="s">
        <v>550</v>
      </c>
      <c r="K13" s="4" t="s">
        <v>551</v>
      </c>
      <c r="L13" s="17"/>
      <c r="M13" s="85" t="s">
        <v>57</v>
      </c>
      <c r="N13" s="18">
        <v>6000</v>
      </c>
      <c r="O13" s="17" t="s">
        <v>31</v>
      </c>
      <c r="P13" s="19">
        <f t="shared" si="0"/>
        <v>0.72595281306715065</v>
      </c>
      <c r="Q13" s="19"/>
      <c r="R13" s="4" t="s">
        <v>552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11737500</v>
      </c>
      <c r="D14" s="3"/>
      <c r="E14" s="60">
        <v>9</v>
      </c>
      <c r="F14" s="17">
        <v>10</v>
      </c>
      <c r="G14" s="73">
        <v>46175</v>
      </c>
      <c r="H14" s="18">
        <v>8313</v>
      </c>
      <c r="I14" s="17" t="s">
        <v>64</v>
      </c>
      <c r="J14" s="4" t="s">
        <v>66</v>
      </c>
      <c r="K14" s="4" t="s">
        <v>221</v>
      </c>
      <c r="L14" s="17"/>
      <c r="M14" s="85" t="s">
        <v>57</v>
      </c>
      <c r="N14" s="18">
        <v>6000</v>
      </c>
      <c r="O14" s="17" t="s">
        <v>31</v>
      </c>
      <c r="P14" s="19">
        <f t="shared" si="0"/>
        <v>0.72176109707686753</v>
      </c>
      <c r="Q14" s="19"/>
      <c r="R14" s="4" t="s">
        <v>553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9</v>
      </c>
      <c r="G15" s="73">
        <v>46174</v>
      </c>
      <c r="H15" s="18">
        <v>7541</v>
      </c>
      <c r="I15" s="17" t="s">
        <v>69</v>
      </c>
      <c r="J15" s="4" t="s">
        <v>70</v>
      </c>
      <c r="K15" s="4" t="s">
        <v>71</v>
      </c>
      <c r="L15" s="17"/>
      <c r="M15" s="85" t="s">
        <v>57</v>
      </c>
      <c r="N15" s="18">
        <v>3500</v>
      </c>
      <c r="O15" s="17" t="s">
        <v>31</v>
      </c>
      <c r="P15" s="19">
        <f t="shared" si="0"/>
        <v>0.46412942580559607</v>
      </c>
      <c r="Q15" s="19"/>
      <c r="R15" s="4" t="s">
        <v>554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4500000</v>
      </c>
      <c r="D16" s="3"/>
      <c r="E16" s="60">
        <v>11</v>
      </c>
      <c r="F16" s="17">
        <v>8</v>
      </c>
      <c r="G16" s="73">
        <v>46173</v>
      </c>
      <c r="H16" s="18">
        <v>9303</v>
      </c>
      <c r="I16" s="17" t="s">
        <v>169</v>
      </c>
      <c r="J16" s="4" t="s">
        <v>71</v>
      </c>
      <c r="K16" s="41"/>
      <c r="L16" s="41"/>
      <c r="M16" s="85" t="s">
        <v>170</v>
      </c>
      <c r="N16" s="18">
        <v>7037</v>
      </c>
      <c r="O16" s="17" t="s">
        <v>31</v>
      </c>
      <c r="P16" s="19">
        <f t="shared" si="0"/>
        <v>0.75642265935719666</v>
      </c>
      <c r="Q16" s="41"/>
      <c r="R16" s="4" t="s">
        <v>555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11</v>
      </c>
      <c r="G21" s="45">
        <v>46183</v>
      </c>
      <c r="H21" s="46">
        <v>3495</v>
      </c>
      <c r="I21" s="46">
        <v>3146</v>
      </c>
      <c r="J21" s="44" t="s">
        <v>169</v>
      </c>
      <c r="K21" s="47">
        <v>0.76</v>
      </c>
      <c r="L21" s="88"/>
      <c r="M21" s="49"/>
      <c r="N21" s="50" t="s">
        <v>363</v>
      </c>
      <c r="O21" s="44" t="s">
        <v>556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11</v>
      </c>
      <c r="F22" s="44">
        <v>10</v>
      </c>
      <c r="G22" s="45">
        <v>46183</v>
      </c>
      <c r="H22" s="46">
        <v>3542</v>
      </c>
      <c r="I22" s="46">
        <v>3188</v>
      </c>
      <c r="J22" s="44" t="s">
        <v>169</v>
      </c>
      <c r="K22" s="47">
        <v>0.76</v>
      </c>
      <c r="L22" s="88"/>
      <c r="M22" s="49"/>
      <c r="N22" s="50" t="s">
        <v>363</v>
      </c>
      <c r="O22" s="44" t="s">
        <v>556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12</v>
      </c>
      <c r="F23" s="44">
        <v>9</v>
      </c>
      <c r="G23" s="45">
        <v>46182</v>
      </c>
      <c r="H23" s="46">
        <v>6007</v>
      </c>
      <c r="I23" s="46">
        <v>5406</v>
      </c>
      <c r="J23" s="44" t="s">
        <v>226</v>
      </c>
      <c r="K23" s="47">
        <v>0.7</v>
      </c>
      <c r="L23" s="88"/>
      <c r="M23" s="49" t="s">
        <v>557</v>
      </c>
      <c r="N23" s="50" t="s">
        <v>367</v>
      </c>
      <c r="O23" s="44" t="s">
        <v>558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13</v>
      </c>
      <c r="F24" s="44">
        <v>8</v>
      </c>
      <c r="G24" s="45">
        <v>46181</v>
      </c>
      <c r="H24" s="46">
        <v>5480</v>
      </c>
      <c r="I24" s="46">
        <v>4932</v>
      </c>
      <c r="J24" s="44" t="s">
        <v>88</v>
      </c>
      <c r="K24" s="47">
        <v>0.68</v>
      </c>
      <c r="L24" s="48">
        <v>0.02</v>
      </c>
      <c r="M24" s="49" t="s">
        <v>559</v>
      </c>
      <c r="N24" s="50" t="s">
        <v>560</v>
      </c>
      <c r="O24" s="44" t="s">
        <v>561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16</v>
      </c>
      <c r="F25" s="44">
        <v>7</v>
      </c>
      <c r="G25" s="45">
        <v>46178</v>
      </c>
      <c r="H25" s="46">
        <v>3654</v>
      </c>
      <c r="I25" s="46">
        <v>3288</v>
      </c>
      <c r="J25" s="44" t="s">
        <v>102</v>
      </c>
      <c r="K25" s="47">
        <v>0.75</v>
      </c>
      <c r="L25" s="88"/>
      <c r="M25" s="49" t="s">
        <v>562</v>
      </c>
      <c r="N25" s="50" t="s">
        <v>104</v>
      </c>
      <c r="O25" s="44" t="s">
        <v>563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17</v>
      </c>
      <c r="F26" s="44">
        <v>5</v>
      </c>
      <c r="G26" s="45">
        <v>46177</v>
      </c>
      <c r="H26" s="46">
        <v>2876</v>
      </c>
      <c r="I26" s="46">
        <v>2588</v>
      </c>
      <c r="J26" s="44" t="s">
        <v>107</v>
      </c>
      <c r="K26" s="47">
        <v>0.71</v>
      </c>
      <c r="L26" s="48"/>
      <c r="M26" s="49" t="s">
        <v>564</v>
      </c>
      <c r="N26" s="50" t="s">
        <v>565</v>
      </c>
      <c r="O26" s="44" t="s">
        <v>502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M27" s="4"/>
      <c r="N27" s="4"/>
      <c r="O27" s="4"/>
      <c r="P27" s="4"/>
      <c r="Q27" s="4"/>
      <c r="R27" s="4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55" t="s">
        <v>110</v>
      </c>
      <c r="I29" s="56" t="s">
        <v>76</v>
      </c>
      <c r="J29" s="105" t="s">
        <v>111</v>
      </c>
      <c r="K29" s="106"/>
      <c r="L29" s="107"/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58" t="s">
        <v>112</v>
      </c>
      <c r="F30" s="89"/>
      <c r="G30" s="17" t="s">
        <v>381</v>
      </c>
      <c r="H30" s="4"/>
      <c r="I30" s="3"/>
      <c r="J30" s="59" t="s">
        <v>114</v>
      </c>
      <c r="K30" s="59" t="s">
        <v>115</v>
      </c>
      <c r="L30" s="59" t="s">
        <v>116</v>
      </c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3"/>
      <c r="F31" s="42"/>
      <c r="G31" s="17"/>
      <c r="H31" s="3"/>
      <c r="I31" s="3"/>
      <c r="J31" s="3" t="s">
        <v>117</v>
      </c>
      <c r="K31" s="53"/>
      <c r="L31" s="53">
        <v>7.0000000000000007E-2</v>
      </c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3" t="s">
        <v>118</v>
      </c>
      <c r="F32" s="17"/>
      <c r="G32" s="89"/>
      <c r="H32" s="3"/>
      <c r="I32" s="3"/>
      <c r="J32" s="3"/>
      <c r="K32" s="4"/>
      <c r="L32" s="53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17" t="s">
        <v>119</v>
      </c>
      <c r="F33" s="17">
        <v>0</v>
      </c>
      <c r="G33" s="17"/>
      <c r="H33" s="3"/>
      <c r="I33" s="3"/>
      <c r="J33" s="3" t="s">
        <v>120</v>
      </c>
      <c r="K33" s="53"/>
      <c r="L33" s="53">
        <v>0.03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17" t="s">
        <v>122</v>
      </c>
      <c r="F34" s="17">
        <v>0</v>
      </c>
      <c r="G34" s="17"/>
      <c r="H34" s="5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5"/>
      <c r="F35" s="17"/>
      <c r="G35" s="17"/>
      <c r="H35" s="5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55" t="s">
        <v>123</v>
      </c>
      <c r="F36" s="17"/>
      <c r="G36" s="17"/>
      <c r="H36" s="53"/>
      <c r="I36" s="3"/>
      <c r="J36" s="3"/>
      <c r="K36" s="17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61" t="s">
        <v>124</v>
      </c>
      <c r="F37" s="17">
        <v>0</v>
      </c>
      <c r="G37" s="17"/>
      <c r="H37" s="3"/>
      <c r="I37" s="3"/>
      <c r="J37" s="62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61" t="s">
        <v>125</v>
      </c>
      <c r="F38" s="17">
        <v>0</v>
      </c>
      <c r="G38" s="17"/>
      <c r="H38" s="3"/>
      <c r="I38" s="3"/>
      <c r="J38" s="63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3"/>
      <c r="F39" s="3"/>
      <c r="G39" s="3"/>
      <c r="H39" s="3"/>
      <c r="I39" s="3"/>
      <c r="J39" s="64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55" t="s">
        <v>126</v>
      </c>
      <c r="F40" s="55"/>
      <c r="G40" s="3"/>
      <c r="H40" s="3"/>
      <c r="J40" s="4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5" t="s">
        <v>20</v>
      </c>
      <c r="F41" s="65" t="s">
        <v>127</v>
      </c>
      <c r="G41" s="65" t="s">
        <v>128</v>
      </c>
      <c r="H41" s="65" t="s">
        <v>129</v>
      </c>
      <c r="I41" s="65" t="s">
        <v>87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66" t="s">
        <v>337</v>
      </c>
      <c r="F42" s="67">
        <v>1280</v>
      </c>
      <c r="G42" s="68">
        <v>0</v>
      </c>
      <c r="H42" s="69" t="s">
        <v>131</v>
      </c>
      <c r="I42" s="68" t="s">
        <v>40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70" t="s">
        <v>338</v>
      </c>
      <c r="F43" s="67">
        <v>258</v>
      </c>
      <c r="G43" s="68">
        <v>0</v>
      </c>
      <c r="H43" s="69" t="s">
        <v>131</v>
      </c>
      <c r="I43" s="68" t="s">
        <v>191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70" t="s">
        <v>243</v>
      </c>
      <c r="F44" s="67">
        <v>230</v>
      </c>
      <c r="G44" s="68">
        <v>0</v>
      </c>
      <c r="H44" s="69" t="s">
        <v>131</v>
      </c>
      <c r="I44" s="68" t="s">
        <v>40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341</v>
      </c>
      <c r="F45" s="71">
        <v>480</v>
      </c>
      <c r="G45" s="72"/>
      <c r="H45" s="69" t="s">
        <v>131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342</v>
      </c>
      <c r="F46" s="71">
        <v>135</v>
      </c>
      <c r="G46" s="72"/>
      <c r="H46" s="69" t="s">
        <v>131</v>
      </c>
      <c r="I46" s="68" t="s">
        <v>566</v>
      </c>
      <c r="J46" s="4"/>
      <c r="K46" s="4"/>
      <c r="L46" s="4"/>
      <c r="M46" s="73"/>
      <c r="N46" s="18"/>
      <c r="O46" s="18"/>
      <c r="P46" s="17"/>
      <c r="Q46" s="74"/>
      <c r="R46" s="53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246</v>
      </c>
      <c r="F47" s="71">
        <v>155</v>
      </c>
      <c r="G47" s="72"/>
      <c r="H47" s="69" t="s">
        <v>131</v>
      </c>
      <c r="I47" s="68" t="s">
        <v>567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66"/>
      <c r="F49" s="4" t="s">
        <v>140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/>
      <c r="F50" s="4" t="s">
        <v>141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5"/>
      <c r="F51" s="4" t="s">
        <v>142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76"/>
      <c r="F52" s="4" t="s">
        <v>143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A30:C30"/>
    <mergeCell ref="A43:C43"/>
    <mergeCell ref="P4:P5"/>
    <mergeCell ref="Q4:Q5"/>
    <mergeCell ref="R4:R5"/>
    <mergeCell ref="N4:N5"/>
    <mergeCell ref="O4:O5"/>
    <mergeCell ref="A17:C17"/>
    <mergeCell ref="E19:R19"/>
    <mergeCell ref="J29:L29"/>
  </mergeCells>
  <printOptions horizontalCentered="1"/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145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19</v>
      </c>
      <c r="G6" s="73">
        <v>46184</v>
      </c>
      <c r="H6" s="18">
        <v>9555</v>
      </c>
      <c r="I6" s="17" t="s">
        <v>28</v>
      </c>
      <c r="J6" s="4" t="s">
        <v>29</v>
      </c>
      <c r="K6" s="4" t="s">
        <v>538</v>
      </c>
      <c r="L6" s="17">
        <v>0</v>
      </c>
      <c r="M6" s="86"/>
      <c r="N6" s="18">
        <v>9555</v>
      </c>
      <c r="O6" s="17" t="s">
        <v>31</v>
      </c>
      <c r="P6" s="19">
        <f t="shared" ref="P6:P16" si="0">N6/H6</f>
        <v>1</v>
      </c>
      <c r="Q6" s="19">
        <v>0.01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18</v>
      </c>
      <c r="G7" s="73">
        <v>46183</v>
      </c>
      <c r="H7" s="18">
        <v>9352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9332</v>
      </c>
      <c r="O7" s="17" t="s">
        <v>31</v>
      </c>
      <c r="P7" s="19">
        <f t="shared" si="0"/>
        <v>0.99786142001710865</v>
      </c>
      <c r="Q7" s="19">
        <v>0.03</v>
      </c>
      <c r="R7" s="4" t="s">
        <v>568</v>
      </c>
      <c r="S7" s="17" t="s">
        <v>470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136</v>
      </c>
      <c r="B8" s="16">
        <v>144000</v>
      </c>
      <c r="C8" s="24">
        <v>0.88</v>
      </c>
      <c r="D8" s="3"/>
      <c r="E8" s="60">
        <v>3</v>
      </c>
      <c r="F8" s="17">
        <v>17</v>
      </c>
      <c r="G8" s="73">
        <v>46182</v>
      </c>
      <c r="H8" s="18">
        <v>9416</v>
      </c>
      <c r="I8" s="17" t="s">
        <v>42</v>
      </c>
      <c r="J8" s="4" t="s">
        <v>150</v>
      </c>
      <c r="K8" s="4" t="s">
        <v>43</v>
      </c>
      <c r="L8" s="17"/>
      <c r="M8" s="17" t="s">
        <v>569</v>
      </c>
      <c r="N8" s="18">
        <v>7816</v>
      </c>
      <c r="O8" s="17" t="s">
        <v>31</v>
      </c>
      <c r="P8" s="19">
        <f t="shared" si="0"/>
        <v>0.83007646559048431</v>
      </c>
      <c r="Q8" s="19">
        <v>0.04</v>
      </c>
      <c r="R8" s="4" t="s">
        <v>206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16</v>
      </c>
      <c r="G9" s="73">
        <v>46181</v>
      </c>
      <c r="H9" s="18">
        <v>10316</v>
      </c>
      <c r="I9" s="17" t="s">
        <v>154</v>
      </c>
      <c r="J9" s="4" t="s">
        <v>570</v>
      </c>
      <c r="K9" s="4" t="s">
        <v>571</v>
      </c>
      <c r="L9" s="17"/>
      <c r="M9" s="17" t="s">
        <v>572</v>
      </c>
      <c r="N9" s="18">
        <v>9850</v>
      </c>
      <c r="O9" s="17" t="s">
        <v>31</v>
      </c>
      <c r="P9" s="19">
        <f t="shared" si="0"/>
        <v>0.95482745250096934</v>
      </c>
      <c r="Q9" s="19">
        <v>0.02</v>
      </c>
      <c r="R9" s="4" t="s">
        <v>573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15</v>
      </c>
      <c r="G10" s="73">
        <v>46180</v>
      </c>
      <c r="H10" s="18">
        <v>7668</v>
      </c>
      <c r="I10" s="17" t="s">
        <v>212</v>
      </c>
      <c r="J10" s="4" t="s">
        <v>574</v>
      </c>
      <c r="K10" s="4" t="s">
        <v>575</v>
      </c>
      <c r="L10" s="17"/>
      <c r="M10" s="17"/>
      <c r="N10" s="18">
        <v>7340</v>
      </c>
      <c r="O10" s="17" t="s">
        <v>31</v>
      </c>
      <c r="P10" s="19">
        <f t="shared" si="0"/>
        <v>0.9572248304642671</v>
      </c>
      <c r="Q10" s="19">
        <v>7.0000000000000007E-2</v>
      </c>
      <c r="R10" s="4" t="s">
        <v>261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</v>
      </c>
      <c r="B11" s="16">
        <v>128000</v>
      </c>
      <c r="C11" s="8"/>
      <c r="D11" s="3"/>
      <c r="E11" s="60">
        <v>6</v>
      </c>
      <c r="F11" s="17">
        <v>14</v>
      </c>
      <c r="G11" s="73">
        <v>46179</v>
      </c>
      <c r="H11" s="18">
        <v>8137</v>
      </c>
      <c r="I11" s="17" t="s">
        <v>47</v>
      </c>
      <c r="J11" s="4" t="s">
        <v>576</v>
      </c>
      <c r="K11" s="4" t="s">
        <v>577</v>
      </c>
      <c r="L11" s="17"/>
      <c r="M11" s="17"/>
      <c r="N11" s="18">
        <v>7230</v>
      </c>
      <c r="O11" s="17" t="s">
        <v>31</v>
      </c>
      <c r="P11" s="19">
        <f t="shared" si="0"/>
        <v>0.88853385768710824</v>
      </c>
      <c r="Q11" s="19"/>
      <c r="R11" s="4" t="s">
        <v>40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13</v>
      </c>
      <c r="G12" s="73">
        <v>46178</v>
      </c>
      <c r="H12" s="18">
        <v>8122</v>
      </c>
      <c r="I12" s="17" t="s">
        <v>54</v>
      </c>
      <c r="J12" s="4" t="s">
        <v>578</v>
      </c>
      <c r="K12" s="4" t="s">
        <v>579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0.61561191824673722</v>
      </c>
      <c r="Q12" s="19"/>
      <c r="R12" s="4" t="s">
        <v>580</v>
      </c>
      <c r="S12" s="17" t="s">
        <v>46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17486520</v>
      </c>
      <c r="D13" s="3"/>
      <c r="E13" s="60">
        <v>8</v>
      </c>
      <c r="F13" s="17">
        <v>12</v>
      </c>
      <c r="G13" s="73">
        <v>46177</v>
      </c>
      <c r="H13" s="18">
        <v>6783</v>
      </c>
      <c r="I13" s="17" t="s">
        <v>59</v>
      </c>
      <c r="J13" s="4" t="s">
        <v>581</v>
      </c>
      <c r="K13" s="4" t="s">
        <v>582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0.73713696004717677</v>
      </c>
      <c r="Q13" s="19"/>
      <c r="R13" s="4" t="s">
        <v>583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13638750</v>
      </c>
      <c r="D14" s="3"/>
      <c r="E14" s="60">
        <v>9</v>
      </c>
      <c r="F14" s="17">
        <v>11</v>
      </c>
      <c r="G14" s="73">
        <v>46176</v>
      </c>
      <c r="H14" s="18">
        <v>8265</v>
      </c>
      <c r="I14" s="17" t="s">
        <v>64</v>
      </c>
      <c r="J14" s="4" t="s">
        <v>584</v>
      </c>
      <c r="K14" s="4" t="s">
        <v>219</v>
      </c>
      <c r="L14" s="17"/>
      <c r="M14" s="85" t="s">
        <v>57</v>
      </c>
      <c r="N14" s="18">
        <v>6000</v>
      </c>
      <c r="O14" s="17" t="s">
        <v>31</v>
      </c>
      <c r="P14" s="19">
        <f t="shared" si="0"/>
        <v>0.72595281306715065</v>
      </c>
      <c r="Q14" s="19"/>
      <c r="R14" s="4" t="s">
        <v>585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10</v>
      </c>
      <c r="G15" s="73">
        <v>46175</v>
      </c>
      <c r="H15" s="18">
        <v>8313</v>
      </c>
      <c r="I15" s="17" t="s">
        <v>69</v>
      </c>
      <c r="J15" s="4" t="s">
        <v>71</v>
      </c>
      <c r="K15" s="4"/>
      <c r="L15" s="17"/>
      <c r="M15" s="85" t="s">
        <v>57</v>
      </c>
      <c r="N15" s="18">
        <v>6000</v>
      </c>
      <c r="O15" s="17" t="s">
        <v>31</v>
      </c>
      <c r="P15" s="19">
        <f t="shared" si="0"/>
        <v>0.72176109707686753</v>
      </c>
      <c r="Q15" s="19"/>
      <c r="R15" s="4" t="s">
        <v>586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3500000</v>
      </c>
      <c r="D16" s="3"/>
      <c r="E16" s="60">
        <v>11</v>
      </c>
      <c r="F16" s="17">
        <v>9</v>
      </c>
      <c r="G16" s="73">
        <v>46174</v>
      </c>
      <c r="H16" s="18">
        <v>7541</v>
      </c>
      <c r="I16" s="17" t="s">
        <v>169</v>
      </c>
      <c r="J16" s="4" t="s">
        <v>71</v>
      </c>
      <c r="K16" s="41"/>
      <c r="L16" s="41"/>
      <c r="M16" s="85" t="s">
        <v>170</v>
      </c>
      <c r="N16" s="18">
        <v>3676</v>
      </c>
      <c r="O16" s="17" t="s">
        <v>31</v>
      </c>
      <c r="P16" s="19">
        <f t="shared" si="0"/>
        <v>0.48746850550324888</v>
      </c>
      <c r="Q16" s="19">
        <v>0.01</v>
      </c>
      <c r="R16" s="4" t="s">
        <v>587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12</v>
      </c>
      <c r="G21" s="45">
        <v>46184</v>
      </c>
      <c r="H21" s="46">
        <v>3676</v>
      </c>
      <c r="I21" s="46">
        <v>3309</v>
      </c>
      <c r="J21" s="44" t="s">
        <v>169</v>
      </c>
      <c r="K21" s="47">
        <v>0.49</v>
      </c>
      <c r="L21" s="88"/>
      <c r="M21" s="49"/>
      <c r="N21" s="50" t="s">
        <v>363</v>
      </c>
      <c r="O21" s="44" t="s">
        <v>588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11</v>
      </c>
      <c r="G22" s="45">
        <v>46183</v>
      </c>
      <c r="H22" s="46">
        <v>3495</v>
      </c>
      <c r="I22" s="46">
        <v>3146</v>
      </c>
      <c r="J22" s="44" t="s">
        <v>226</v>
      </c>
      <c r="K22" s="47">
        <v>0.76</v>
      </c>
      <c r="L22" s="88"/>
      <c r="M22" s="49" t="s">
        <v>589</v>
      </c>
      <c r="N22" s="50" t="s">
        <v>590</v>
      </c>
      <c r="O22" s="44" t="s">
        <v>591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12</v>
      </c>
      <c r="F23" s="44">
        <v>10</v>
      </c>
      <c r="G23" s="45">
        <v>46183</v>
      </c>
      <c r="H23" s="46">
        <v>3542</v>
      </c>
      <c r="I23" s="46">
        <v>3188</v>
      </c>
      <c r="J23" s="44" t="s">
        <v>226</v>
      </c>
      <c r="K23" s="47">
        <v>0.76</v>
      </c>
      <c r="L23" s="88"/>
      <c r="M23" s="49" t="s">
        <v>592</v>
      </c>
      <c r="N23" s="50" t="s">
        <v>314</v>
      </c>
      <c r="O23" s="44" t="s">
        <v>315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13</v>
      </c>
      <c r="F24" s="44">
        <v>9</v>
      </c>
      <c r="G24" s="45">
        <v>46182</v>
      </c>
      <c r="H24" s="46">
        <v>6007</v>
      </c>
      <c r="I24" s="46">
        <v>5406</v>
      </c>
      <c r="J24" s="44" t="s">
        <v>88</v>
      </c>
      <c r="K24" s="47">
        <v>0.7</v>
      </c>
      <c r="L24" s="88"/>
      <c r="M24" s="49" t="s">
        <v>593</v>
      </c>
      <c r="N24" s="50" t="s">
        <v>594</v>
      </c>
      <c r="O24" s="44" t="s">
        <v>595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14</v>
      </c>
      <c r="F25" s="44">
        <v>8</v>
      </c>
      <c r="G25" s="45">
        <v>46181</v>
      </c>
      <c r="H25" s="46">
        <v>5480</v>
      </c>
      <c r="I25" s="46">
        <v>4932</v>
      </c>
      <c r="J25" s="44" t="s">
        <v>92</v>
      </c>
      <c r="K25" s="47">
        <v>0.68</v>
      </c>
      <c r="L25" s="48"/>
      <c r="M25" s="49" t="s">
        <v>175</v>
      </c>
      <c r="N25" s="50" t="s">
        <v>373</v>
      </c>
      <c r="O25" s="44" t="s">
        <v>596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17</v>
      </c>
      <c r="F26" s="44">
        <v>7</v>
      </c>
      <c r="G26" s="45">
        <v>46178</v>
      </c>
      <c r="H26" s="46">
        <v>3654</v>
      </c>
      <c r="I26" s="46">
        <v>3288</v>
      </c>
      <c r="J26" s="44" t="s">
        <v>107</v>
      </c>
      <c r="K26" s="47">
        <v>0.75</v>
      </c>
      <c r="L26" s="88"/>
      <c r="M26" s="49" t="s">
        <v>597</v>
      </c>
      <c r="N26" s="50" t="s">
        <v>532</v>
      </c>
      <c r="O26" s="44" t="s">
        <v>598</v>
      </c>
      <c r="P26" s="46"/>
      <c r="Q26" s="52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18</v>
      </c>
      <c r="F27" s="44">
        <v>5</v>
      </c>
      <c r="G27" s="45">
        <v>46177</v>
      </c>
      <c r="H27" s="46">
        <v>2876</v>
      </c>
      <c r="I27" s="46">
        <v>2588</v>
      </c>
      <c r="J27" s="44" t="s">
        <v>282</v>
      </c>
      <c r="K27" s="47">
        <v>0.71</v>
      </c>
      <c r="L27" s="48"/>
      <c r="M27" s="49" t="s">
        <v>599</v>
      </c>
      <c r="N27" s="50" t="s">
        <v>600</v>
      </c>
      <c r="O27" s="44" t="s">
        <v>601</v>
      </c>
      <c r="P27" s="46">
        <v>1888</v>
      </c>
      <c r="Q27" s="52">
        <f>P27/H27</f>
        <v>0.65646731571627259</v>
      </c>
      <c r="R27" s="46" t="s">
        <v>106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M28" s="4"/>
      <c r="N28" s="4"/>
      <c r="O28" s="4"/>
      <c r="P28" s="4"/>
      <c r="Q28" s="4"/>
      <c r="R28" s="4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55" t="s">
        <v>110</v>
      </c>
      <c r="I30" s="56" t="s">
        <v>76</v>
      </c>
      <c r="J30" s="105" t="s">
        <v>111</v>
      </c>
      <c r="K30" s="106"/>
      <c r="L30" s="107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58" t="s">
        <v>112</v>
      </c>
      <c r="F31" s="89"/>
      <c r="G31" s="17" t="s">
        <v>602</v>
      </c>
      <c r="H31" s="4"/>
      <c r="I31" s="3"/>
      <c r="J31" s="59" t="s">
        <v>114</v>
      </c>
      <c r="K31" s="59" t="s">
        <v>115</v>
      </c>
      <c r="L31" s="59" t="s">
        <v>116</v>
      </c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3"/>
      <c r="F32" s="42"/>
      <c r="G32" s="17"/>
      <c r="H32" s="3"/>
      <c r="I32" s="3"/>
      <c r="J32" s="3" t="s">
        <v>117</v>
      </c>
      <c r="K32" s="53"/>
      <c r="L32" s="53">
        <v>0.09</v>
      </c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3" t="s">
        <v>118</v>
      </c>
      <c r="F33" s="17"/>
      <c r="G33" s="89"/>
      <c r="H33" s="3"/>
      <c r="I33" s="3"/>
      <c r="J33" s="3"/>
      <c r="K33" s="4"/>
      <c r="L33" s="53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17" t="s">
        <v>119</v>
      </c>
      <c r="F34" s="17">
        <v>0</v>
      </c>
      <c r="G34" s="17"/>
      <c r="H34" s="3"/>
      <c r="I34" s="3"/>
      <c r="J34" s="3" t="s">
        <v>120</v>
      </c>
      <c r="K34" s="53"/>
      <c r="L34" s="53">
        <v>7.0000000000000007E-2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17" t="s">
        <v>122</v>
      </c>
      <c r="F35" s="17">
        <v>0</v>
      </c>
      <c r="G35" s="17"/>
      <c r="H35" s="5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5"/>
      <c r="F36" s="17"/>
      <c r="G36" s="17"/>
      <c r="H36" s="5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55" t="s">
        <v>123</v>
      </c>
      <c r="F37" s="17"/>
      <c r="G37" s="17"/>
      <c r="H37" s="53"/>
      <c r="I37" s="3"/>
      <c r="J37" s="3"/>
      <c r="K37" s="17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61" t="s">
        <v>124</v>
      </c>
      <c r="F38" s="17">
        <v>0</v>
      </c>
      <c r="G38" s="17"/>
      <c r="H38" s="3"/>
      <c r="I38" s="3"/>
      <c r="J38" s="62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61" t="s">
        <v>125</v>
      </c>
      <c r="F39" s="17">
        <v>0</v>
      </c>
      <c r="G39" s="17"/>
      <c r="H39" s="3"/>
      <c r="I39" s="3"/>
      <c r="J39" s="63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3"/>
      <c r="F40" s="3"/>
      <c r="G40" s="3"/>
      <c r="H40" s="3"/>
      <c r="I40" s="3"/>
      <c r="J40" s="64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55" t="s">
        <v>126</v>
      </c>
      <c r="F41" s="55"/>
      <c r="G41" s="3"/>
      <c r="H41" s="3"/>
      <c r="J41" s="4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65" t="s">
        <v>20</v>
      </c>
      <c r="F42" s="65" t="s">
        <v>127</v>
      </c>
      <c r="G42" s="65" t="s">
        <v>128</v>
      </c>
      <c r="H42" s="65" t="s">
        <v>129</v>
      </c>
      <c r="I42" s="65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66" t="s">
        <v>389</v>
      </c>
      <c r="F43" s="67">
        <v>1280</v>
      </c>
      <c r="G43" s="68">
        <v>0</v>
      </c>
      <c r="H43" s="69" t="s">
        <v>131</v>
      </c>
      <c r="I43" s="68" t="s">
        <v>40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70" t="s">
        <v>390</v>
      </c>
      <c r="F44" s="67">
        <v>233</v>
      </c>
      <c r="G44" s="68">
        <v>0</v>
      </c>
      <c r="H44" s="69" t="s">
        <v>131</v>
      </c>
      <c r="I44" s="68" t="s">
        <v>293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289</v>
      </c>
      <c r="F45" s="67">
        <v>235</v>
      </c>
      <c r="G45" s="68">
        <v>0</v>
      </c>
      <c r="H45" s="69" t="s">
        <v>131</v>
      </c>
      <c r="I45" s="68" t="s">
        <v>40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66" t="s">
        <v>392</v>
      </c>
      <c r="F46" s="71">
        <v>640</v>
      </c>
      <c r="G46" s="72"/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393</v>
      </c>
      <c r="F47" s="71">
        <v>125</v>
      </c>
      <c r="G47" s="72"/>
      <c r="H47" s="69" t="s">
        <v>131</v>
      </c>
      <c r="I47" s="68"/>
      <c r="J47" s="4"/>
      <c r="K47" s="4"/>
      <c r="L47" s="4"/>
      <c r="M47" s="73"/>
      <c r="N47" s="18"/>
      <c r="O47" s="18"/>
      <c r="P47" s="17"/>
      <c r="Q47" s="74"/>
      <c r="R47" s="53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 t="s">
        <v>294</v>
      </c>
      <c r="F48" s="71">
        <v>182</v>
      </c>
      <c r="G48" s="72"/>
      <c r="H48" s="69" t="s">
        <v>131</v>
      </c>
      <c r="I48" s="68" t="s">
        <v>198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66"/>
      <c r="F50" s="4" t="s">
        <v>140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0"/>
      <c r="F51" s="4" t="s">
        <v>141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75"/>
      <c r="F52" s="4" t="s">
        <v>142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6"/>
      <c r="F53" s="4" t="s">
        <v>143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T4:V4"/>
    <mergeCell ref="X4:X5"/>
    <mergeCell ref="Y4:Y5"/>
    <mergeCell ref="Z4:AA4"/>
    <mergeCell ref="A3:C3"/>
    <mergeCell ref="E3:Q3"/>
    <mergeCell ref="R3:AC3"/>
    <mergeCell ref="E4:E5"/>
    <mergeCell ref="F4:I4"/>
    <mergeCell ref="J4:K4"/>
    <mergeCell ref="L4:M4"/>
    <mergeCell ref="AB4:AC4"/>
    <mergeCell ref="A43:C43"/>
    <mergeCell ref="P4:P5"/>
    <mergeCell ref="Q4:Q5"/>
    <mergeCell ref="R4:R5"/>
    <mergeCell ref="S4:S5"/>
    <mergeCell ref="N4:N5"/>
    <mergeCell ref="O4:O5"/>
    <mergeCell ref="A17:C17"/>
    <mergeCell ref="E19:R19"/>
    <mergeCell ref="A30:C30"/>
    <mergeCell ref="J30:L30"/>
  </mergeCells>
  <printOptions horizontalCentered="1"/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159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20</v>
      </c>
      <c r="G6" s="73">
        <v>46185</v>
      </c>
      <c r="H6" s="18">
        <v>9281</v>
      </c>
      <c r="I6" s="17" t="s">
        <v>28</v>
      </c>
      <c r="J6" s="4" t="s">
        <v>29</v>
      </c>
      <c r="K6" s="4" t="s">
        <v>38</v>
      </c>
      <c r="L6" s="17" t="s">
        <v>507</v>
      </c>
      <c r="M6" s="86"/>
      <c r="N6" s="18">
        <v>9231</v>
      </c>
      <c r="O6" s="17" t="s">
        <v>31</v>
      </c>
      <c r="P6" s="19">
        <f t="shared" ref="P6:P16" si="0">N6/H6</f>
        <v>0.99461264949897643</v>
      </c>
      <c r="Q6" s="19">
        <v>0.05</v>
      </c>
      <c r="R6" s="4" t="s">
        <v>203</v>
      </c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19</v>
      </c>
      <c r="G7" s="73">
        <v>46184</v>
      </c>
      <c r="H7" s="18">
        <v>9555</v>
      </c>
      <c r="I7" s="17" t="s">
        <v>37</v>
      </c>
      <c r="J7" s="4" t="s">
        <v>38</v>
      </c>
      <c r="K7" s="4" t="s">
        <v>38</v>
      </c>
      <c r="L7" s="17"/>
      <c r="M7" s="17" t="s">
        <v>296</v>
      </c>
      <c r="N7" s="18">
        <v>9555</v>
      </c>
      <c r="O7" s="17" t="s">
        <v>31</v>
      </c>
      <c r="P7" s="19">
        <f t="shared" si="0"/>
        <v>1</v>
      </c>
      <c r="Q7" s="19">
        <v>0.01</v>
      </c>
      <c r="R7" s="4" t="s">
        <v>603</v>
      </c>
      <c r="S7" s="17" t="s">
        <v>604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139</v>
      </c>
      <c r="B8" s="16">
        <v>204000</v>
      </c>
      <c r="C8" s="24">
        <v>0.64</v>
      </c>
      <c r="D8" s="3"/>
      <c r="E8" s="60">
        <v>3</v>
      </c>
      <c r="F8" s="17">
        <v>18</v>
      </c>
      <c r="G8" s="73">
        <v>46183</v>
      </c>
      <c r="H8" s="18">
        <v>9352</v>
      </c>
      <c r="I8" s="17" t="s">
        <v>42</v>
      </c>
      <c r="J8" s="4" t="s">
        <v>43</v>
      </c>
      <c r="K8" s="4" t="s">
        <v>43</v>
      </c>
      <c r="L8" s="17"/>
      <c r="M8" s="17" t="s">
        <v>605</v>
      </c>
      <c r="N8" s="18">
        <v>7950</v>
      </c>
      <c r="O8" s="17" t="s">
        <v>31</v>
      </c>
      <c r="P8" s="19">
        <f t="shared" si="0"/>
        <v>0.85008554319931562</v>
      </c>
      <c r="Q8" s="19">
        <v>0.02</v>
      </c>
      <c r="R8" s="4" t="s">
        <v>157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17</v>
      </c>
      <c r="G9" s="73">
        <v>46182</v>
      </c>
      <c r="H9" s="18">
        <v>9416</v>
      </c>
      <c r="I9" s="17" t="s">
        <v>154</v>
      </c>
      <c r="J9" s="4" t="s">
        <v>606</v>
      </c>
      <c r="K9" s="4" t="s">
        <v>298</v>
      </c>
      <c r="L9" s="17"/>
      <c r="M9" s="17" t="s">
        <v>300</v>
      </c>
      <c r="N9" s="18">
        <v>7290</v>
      </c>
      <c r="O9" s="17" t="s">
        <v>31</v>
      </c>
      <c r="P9" s="19">
        <f t="shared" si="0"/>
        <v>0.77421410365335597</v>
      </c>
      <c r="Q9" s="19">
        <v>0.06</v>
      </c>
      <c r="R9" s="4" t="s">
        <v>607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16</v>
      </c>
      <c r="G10" s="73">
        <v>46181</v>
      </c>
      <c r="H10" s="18">
        <v>10316</v>
      </c>
      <c r="I10" s="17" t="s">
        <v>212</v>
      </c>
      <c r="J10" s="4" t="s">
        <v>608</v>
      </c>
      <c r="K10" s="4" t="s">
        <v>609</v>
      </c>
      <c r="L10" s="17"/>
      <c r="M10" s="17"/>
      <c r="N10" s="18">
        <v>8820</v>
      </c>
      <c r="O10" s="17" t="s">
        <v>31</v>
      </c>
      <c r="P10" s="19">
        <f t="shared" si="0"/>
        <v>0.85498255137650248</v>
      </c>
      <c r="Q10" s="19">
        <v>0.03</v>
      </c>
      <c r="R10" s="4" t="s">
        <v>610</v>
      </c>
      <c r="S10" s="17" t="s">
        <v>349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0.85</v>
      </c>
      <c r="B11" s="16">
        <v>112000</v>
      </c>
      <c r="C11" s="8"/>
      <c r="D11" s="3"/>
      <c r="E11" s="60">
        <v>6</v>
      </c>
      <c r="F11" s="17">
        <v>15</v>
      </c>
      <c r="G11" s="73">
        <v>46180</v>
      </c>
      <c r="H11" s="18">
        <v>7668</v>
      </c>
      <c r="I11" s="17" t="s">
        <v>47</v>
      </c>
      <c r="J11" s="4" t="s">
        <v>611</v>
      </c>
      <c r="K11" s="4" t="s">
        <v>612</v>
      </c>
      <c r="L11" s="17"/>
      <c r="M11" s="17"/>
      <c r="N11" s="18">
        <v>6120</v>
      </c>
      <c r="O11" s="17" t="s">
        <v>31</v>
      </c>
      <c r="P11" s="19">
        <f t="shared" si="0"/>
        <v>0.7981220657276995</v>
      </c>
      <c r="Q11" s="19">
        <v>0.03</v>
      </c>
      <c r="R11" s="4" t="s">
        <v>541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14</v>
      </c>
      <c r="G12" s="73">
        <v>46179</v>
      </c>
      <c r="H12" s="18">
        <v>8137</v>
      </c>
      <c r="I12" s="17" t="s">
        <v>54</v>
      </c>
      <c r="J12" s="4" t="s">
        <v>613</v>
      </c>
      <c r="K12" s="4" t="s">
        <v>614</v>
      </c>
      <c r="L12" s="17"/>
      <c r="M12" s="85" t="s">
        <v>57</v>
      </c>
      <c r="N12" s="18">
        <v>6500</v>
      </c>
      <c r="O12" s="17" t="s">
        <v>31</v>
      </c>
      <c r="P12" s="19">
        <f t="shared" si="0"/>
        <v>0.79882020400639053</v>
      </c>
      <c r="Q12" s="19"/>
      <c r="R12" s="4" t="s">
        <v>50</v>
      </c>
      <c r="S12" s="17" t="s">
        <v>349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15573750</v>
      </c>
      <c r="D13" s="3"/>
      <c r="E13" s="60">
        <v>8</v>
      </c>
      <c r="F13" s="17">
        <v>13</v>
      </c>
      <c r="G13" s="73">
        <v>46178</v>
      </c>
      <c r="H13" s="18">
        <v>8122</v>
      </c>
      <c r="I13" s="17" t="s">
        <v>59</v>
      </c>
      <c r="J13" s="4" t="s">
        <v>615</v>
      </c>
      <c r="K13" s="4" t="s">
        <v>616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0.61561191824673722</v>
      </c>
      <c r="Q13" s="19"/>
      <c r="R13" s="4" t="s">
        <v>617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12337500</v>
      </c>
      <c r="D14" s="3"/>
      <c r="E14" s="60">
        <v>9</v>
      </c>
      <c r="F14" s="17">
        <v>12</v>
      </c>
      <c r="G14" s="73">
        <v>46177</v>
      </c>
      <c r="H14" s="18">
        <v>6783</v>
      </c>
      <c r="I14" s="17" t="s">
        <v>64</v>
      </c>
      <c r="J14" s="4" t="s">
        <v>618</v>
      </c>
      <c r="K14" s="4" t="s">
        <v>619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0.73713696004717677</v>
      </c>
      <c r="Q14" s="19">
        <v>0.02</v>
      </c>
      <c r="R14" s="4" t="s">
        <v>620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11</v>
      </c>
      <c r="G15" s="73">
        <v>46176</v>
      </c>
      <c r="H15" s="18">
        <v>8265</v>
      </c>
      <c r="I15" s="17" t="s">
        <v>69</v>
      </c>
      <c r="J15" s="4" t="s">
        <v>221</v>
      </c>
      <c r="K15" s="4" t="s">
        <v>70</v>
      </c>
      <c r="L15" s="17"/>
      <c r="M15" s="85" t="s">
        <v>57</v>
      </c>
      <c r="N15" s="18">
        <v>6000</v>
      </c>
      <c r="O15" s="17" t="s">
        <v>31</v>
      </c>
      <c r="P15" s="19">
        <f t="shared" si="0"/>
        <v>0.72595281306715065</v>
      </c>
      <c r="Q15" s="19"/>
      <c r="R15" s="4" t="s">
        <v>621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3000000</v>
      </c>
      <c r="D16" s="3"/>
      <c r="E16" s="60">
        <v>11</v>
      </c>
      <c r="F16" s="17">
        <v>10</v>
      </c>
      <c r="G16" s="73">
        <v>46175</v>
      </c>
      <c r="H16" s="18">
        <v>8313</v>
      </c>
      <c r="I16" s="17" t="s">
        <v>169</v>
      </c>
      <c r="J16" s="4" t="s">
        <v>71</v>
      </c>
      <c r="K16" s="41"/>
      <c r="L16" s="41"/>
      <c r="M16" s="85" t="s">
        <v>170</v>
      </c>
      <c r="N16" s="18">
        <v>6155</v>
      </c>
      <c r="O16" s="17" t="s">
        <v>31</v>
      </c>
      <c r="P16" s="19">
        <f t="shared" si="0"/>
        <v>0.74040659208468662</v>
      </c>
      <c r="Q16" s="19"/>
      <c r="R16" s="4" t="s">
        <v>622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14</v>
      </c>
      <c r="G21" s="45">
        <v>46185</v>
      </c>
      <c r="H21" s="46">
        <v>6155</v>
      </c>
      <c r="I21" s="46">
        <v>5540</v>
      </c>
      <c r="J21" s="44" t="s">
        <v>169</v>
      </c>
      <c r="K21" s="47">
        <v>0.74</v>
      </c>
      <c r="L21" s="88"/>
      <c r="M21" s="49"/>
      <c r="N21" s="50" t="s">
        <v>623</v>
      </c>
      <c r="O21" s="44" t="s">
        <v>387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12</v>
      </c>
      <c r="G22" s="45">
        <v>46184</v>
      </c>
      <c r="H22" s="46">
        <v>3676</v>
      </c>
      <c r="I22" s="46">
        <v>3309</v>
      </c>
      <c r="J22" s="44" t="s">
        <v>226</v>
      </c>
      <c r="K22" s="47">
        <v>0.49</v>
      </c>
      <c r="L22" s="48">
        <v>0.02</v>
      </c>
      <c r="M22" s="49" t="s">
        <v>624</v>
      </c>
      <c r="N22" s="50" t="s">
        <v>314</v>
      </c>
      <c r="O22" s="44" t="s">
        <v>625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11</v>
      </c>
      <c r="G23" s="45">
        <v>46183</v>
      </c>
      <c r="H23" s="46">
        <v>3495</v>
      </c>
      <c r="I23" s="46">
        <v>3146</v>
      </c>
      <c r="J23" s="44" t="s">
        <v>88</v>
      </c>
      <c r="K23" s="47">
        <v>0.76</v>
      </c>
      <c r="L23" s="88"/>
      <c r="M23" s="49" t="s">
        <v>626</v>
      </c>
      <c r="N23" s="50" t="s">
        <v>410</v>
      </c>
      <c r="O23" s="44" t="s">
        <v>627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13</v>
      </c>
      <c r="F24" s="44">
        <v>10</v>
      </c>
      <c r="G24" s="45">
        <v>46183</v>
      </c>
      <c r="H24" s="46">
        <v>3542</v>
      </c>
      <c r="I24" s="46">
        <v>3188</v>
      </c>
      <c r="J24" s="44" t="s">
        <v>88</v>
      </c>
      <c r="K24" s="47">
        <v>0.76</v>
      </c>
      <c r="L24" s="48">
        <v>0.01</v>
      </c>
      <c r="M24" s="49" t="s">
        <v>628</v>
      </c>
      <c r="N24" s="50" t="s">
        <v>629</v>
      </c>
      <c r="O24" s="44" t="s">
        <v>630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14</v>
      </c>
      <c r="F25" s="44">
        <v>9</v>
      </c>
      <c r="G25" s="45">
        <v>46182</v>
      </c>
      <c r="H25" s="46">
        <v>6007</v>
      </c>
      <c r="I25" s="46">
        <v>5406</v>
      </c>
      <c r="J25" s="44" t="s">
        <v>92</v>
      </c>
      <c r="K25" s="47">
        <v>0.7</v>
      </c>
      <c r="L25" s="88"/>
      <c r="M25" s="49" t="s">
        <v>631</v>
      </c>
      <c r="N25" s="50" t="s">
        <v>632</v>
      </c>
      <c r="O25" s="44" t="s">
        <v>633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15</v>
      </c>
      <c r="F26" s="44">
        <v>8</v>
      </c>
      <c r="G26" s="45">
        <v>46181</v>
      </c>
      <c r="H26" s="46">
        <v>5480</v>
      </c>
      <c r="I26" s="46">
        <v>4932</v>
      </c>
      <c r="J26" s="44" t="s">
        <v>96</v>
      </c>
      <c r="K26" s="47">
        <v>0.68</v>
      </c>
      <c r="L26" s="48">
        <v>0.01</v>
      </c>
      <c r="M26" s="49" t="s">
        <v>634</v>
      </c>
      <c r="N26" s="50" t="s">
        <v>232</v>
      </c>
      <c r="O26" s="44" t="s">
        <v>635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18</v>
      </c>
      <c r="F27" s="44">
        <v>7</v>
      </c>
      <c r="G27" s="45">
        <v>46178</v>
      </c>
      <c r="H27" s="46">
        <v>3654</v>
      </c>
      <c r="I27" s="46">
        <v>3288</v>
      </c>
      <c r="J27" s="44" t="s">
        <v>282</v>
      </c>
      <c r="K27" s="47">
        <v>0.75</v>
      </c>
      <c r="L27" s="88"/>
      <c r="M27" s="49" t="s">
        <v>636</v>
      </c>
      <c r="N27" s="50" t="s">
        <v>280</v>
      </c>
      <c r="O27" s="44" t="s">
        <v>637</v>
      </c>
      <c r="P27" s="46">
        <v>1643</v>
      </c>
      <c r="Q27" s="52">
        <f t="shared" ref="Q27:Q28" si="1">P27/H27</f>
        <v>0.44964422550629446</v>
      </c>
      <c r="R27" s="46" t="s">
        <v>106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19</v>
      </c>
      <c r="F28" s="44">
        <v>5</v>
      </c>
      <c r="G28" s="45">
        <v>46177</v>
      </c>
      <c r="H28" s="46">
        <v>2876</v>
      </c>
      <c r="I28" s="46">
        <v>2588</v>
      </c>
      <c r="J28" s="44" t="s">
        <v>331</v>
      </c>
      <c r="K28" s="47">
        <v>0.71</v>
      </c>
      <c r="L28" s="48"/>
      <c r="M28" s="49"/>
      <c r="N28" s="50" t="s">
        <v>638</v>
      </c>
      <c r="O28" s="44" t="s">
        <v>639</v>
      </c>
      <c r="P28" s="46">
        <v>2688</v>
      </c>
      <c r="Q28" s="52">
        <f t="shared" si="1"/>
        <v>0.93463143254520165</v>
      </c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55" t="s">
        <v>110</v>
      </c>
      <c r="I31" s="56" t="s">
        <v>76</v>
      </c>
      <c r="J31" s="105" t="s">
        <v>111</v>
      </c>
      <c r="K31" s="106"/>
      <c r="L31" s="107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58" t="s">
        <v>112</v>
      </c>
      <c r="F32" s="89"/>
      <c r="G32" s="17" t="s">
        <v>151</v>
      </c>
      <c r="H32" s="4"/>
      <c r="I32" s="3"/>
      <c r="J32" s="59" t="s">
        <v>114</v>
      </c>
      <c r="K32" s="59" t="s">
        <v>115</v>
      </c>
      <c r="L32" s="59" t="s">
        <v>116</v>
      </c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3"/>
      <c r="F33" s="42"/>
      <c r="G33" s="17"/>
      <c r="H33" s="3"/>
      <c r="I33" s="3"/>
      <c r="J33" s="3" t="s">
        <v>117</v>
      </c>
      <c r="K33" s="53"/>
      <c r="L33" s="3" t="s">
        <v>640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3" t="s">
        <v>118</v>
      </c>
      <c r="F34" s="17"/>
      <c r="G34" s="89"/>
      <c r="H34" s="3"/>
      <c r="I34" s="3"/>
      <c r="J34" s="3"/>
      <c r="K34" s="4"/>
      <c r="L34" s="53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17" t="s">
        <v>119</v>
      </c>
      <c r="F35" s="17">
        <v>0</v>
      </c>
      <c r="G35" s="17"/>
      <c r="H35" s="3"/>
      <c r="I35" s="3"/>
      <c r="J35" s="3" t="s">
        <v>120</v>
      </c>
      <c r="K35" s="53"/>
      <c r="L35" s="53">
        <v>7.0000000000000007E-2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17" t="s">
        <v>122</v>
      </c>
      <c r="F36" s="17">
        <v>0</v>
      </c>
      <c r="G36" s="17"/>
      <c r="H36" s="5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5"/>
      <c r="F37" s="17"/>
      <c r="G37" s="17"/>
      <c r="H37" s="5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5" t="s">
        <v>123</v>
      </c>
      <c r="F38" s="17"/>
      <c r="G38" s="17"/>
      <c r="H38" s="53"/>
      <c r="I38" s="3"/>
      <c r="J38" s="3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61" t="s">
        <v>124</v>
      </c>
      <c r="F39" s="17">
        <v>0</v>
      </c>
      <c r="G39" s="17"/>
      <c r="H39" s="3"/>
      <c r="I39" s="3"/>
      <c r="J39" s="62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1" t="s">
        <v>125</v>
      </c>
      <c r="F40" s="17">
        <v>0</v>
      </c>
      <c r="G40" s="17"/>
      <c r="H40" s="3"/>
      <c r="I40" s="3"/>
      <c r="J40" s="63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3"/>
      <c r="F41" s="3"/>
      <c r="G41" s="3"/>
      <c r="H41" s="3"/>
      <c r="I41" s="3"/>
      <c r="J41" s="64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55" t="s">
        <v>126</v>
      </c>
      <c r="F42" s="55"/>
      <c r="G42" s="3"/>
      <c r="H42" s="3"/>
      <c r="J42" s="4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65" t="s">
        <v>20</v>
      </c>
      <c r="F43" s="65" t="s">
        <v>127</v>
      </c>
      <c r="G43" s="65" t="s">
        <v>128</v>
      </c>
      <c r="H43" s="65" t="s">
        <v>129</v>
      </c>
      <c r="I43" s="65" t="s">
        <v>87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6" t="s">
        <v>130</v>
      </c>
      <c r="F44" s="67">
        <v>1120</v>
      </c>
      <c r="G44" s="68" t="s">
        <v>187</v>
      </c>
      <c r="H44" s="69" t="s">
        <v>131</v>
      </c>
      <c r="I44" s="68" t="s">
        <v>40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132</v>
      </c>
      <c r="F45" s="67">
        <v>226</v>
      </c>
      <c r="G45" s="68">
        <v>0</v>
      </c>
      <c r="H45" s="69" t="s">
        <v>131</v>
      </c>
      <c r="I45" s="68" t="s">
        <v>641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340</v>
      </c>
      <c r="F46" s="67">
        <v>248</v>
      </c>
      <c r="G46" s="68" t="s">
        <v>642</v>
      </c>
      <c r="H46" s="69" t="s">
        <v>131</v>
      </c>
      <c r="I46" s="68" t="s">
        <v>643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66" t="s">
        <v>136</v>
      </c>
      <c r="F47" s="71">
        <v>320</v>
      </c>
      <c r="G47" s="72"/>
      <c r="H47" s="69" t="s">
        <v>131</v>
      </c>
      <c r="I47" s="6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 t="s">
        <v>137</v>
      </c>
      <c r="F48" s="71">
        <v>115</v>
      </c>
      <c r="G48" s="72"/>
      <c r="H48" s="69" t="s">
        <v>131</v>
      </c>
      <c r="I48" s="68" t="s">
        <v>644</v>
      </c>
      <c r="J48" s="4"/>
      <c r="K48" s="4"/>
      <c r="L48" s="4"/>
      <c r="M48" s="73"/>
      <c r="N48" s="18"/>
      <c r="O48" s="18"/>
      <c r="P48" s="17"/>
      <c r="Q48" s="74"/>
      <c r="R48" s="53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 t="s">
        <v>344</v>
      </c>
      <c r="F49" s="71">
        <v>160</v>
      </c>
      <c r="G49" s="72"/>
      <c r="H49" s="69" t="s">
        <v>131</v>
      </c>
      <c r="I49" s="68" t="s">
        <v>40</v>
      </c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66"/>
      <c r="F51" s="4" t="s">
        <v>140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70"/>
      <c r="F52" s="4" t="s">
        <v>141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5"/>
      <c r="F53" s="4" t="s">
        <v>142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6"/>
      <c r="F54" s="4" t="s">
        <v>143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1:L31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147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645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1</v>
      </c>
      <c r="G6" s="73">
        <v>46186</v>
      </c>
      <c r="H6" s="18">
        <v>9453</v>
      </c>
      <c r="I6" s="17" t="s">
        <v>28</v>
      </c>
      <c r="J6" s="4" t="s">
        <v>29</v>
      </c>
      <c r="K6" s="4" t="s">
        <v>538</v>
      </c>
      <c r="L6" s="17">
        <v>0</v>
      </c>
      <c r="M6" s="86"/>
      <c r="N6" s="18">
        <v>9453</v>
      </c>
      <c r="O6" s="17" t="s">
        <v>31</v>
      </c>
      <c r="P6" s="19">
        <f t="shared" ref="P6:P16" si="0">N6/H6</f>
        <v>1</v>
      </c>
      <c r="Q6" s="19">
        <v>0.04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20</v>
      </c>
      <c r="G7" s="73">
        <v>46185</v>
      </c>
      <c r="H7" s="18">
        <v>9281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9281</v>
      </c>
      <c r="O7" s="17" t="s">
        <v>31</v>
      </c>
      <c r="P7" s="19">
        <f t="shared" si="0"/>
        <v>1</v>
      </c>
      <c r="Q7" s="19">
        <v>0.02</v>
      </c>
      <c r="R7" s="4" t="s">
        <v>603</v>
      </c>
      <c r="S7" s="17" t="s">
        <v>32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128</v>
      </c>
      <c r="B8" s="16">
        <v>183000</v>
      </c>
      <c r="C8" s="24">
        <v>0.63</v>
      </c>
      <c r="D8" s="3"/>
      <c r="E8" s="60">
        <v>3</v>
      </c>
      <c r="F8" s="17">
        <v>19</v>
      </c>
      <c r="G8" s="73">
        <v>46184</v>
      </c>
      <c r="H8" s="18">
        <v>9555</v>
      </c>
      <c r="I8" s="17" t="s">
        <v>42</v>
      </c>
      <c r="J8" s="4" t="s">
        <v>43</v>
      </c>
      <c r="K8" s="4" t="s">
        <v>43</v>
      </c>
      <c r="L8" s="17"/>
      <c r="M8" s="17" t="s">
        <v>151</v>
      </c>
      <c r="N8" s="18">
        <v>8075</v>
      </c>
      <c r="O8" s="17" t="s">
        <v>31</v>
      </c>
      <c r="P8" s="19">
        <f t="shared" si="0"/>
        <v>0.8451072736787022</v>
      </c>
      <c r="Q8" s="19">
        <v>0.02</v>
      </c>
      <c r="R8" s="4" t="s">
        <v>646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18</v>
      </c>
      <c r="G9" s="73">
        <v>46183</v>
      </c>
      <c r="H9" s="18">
        <v>9352</v>
      </c>
      <c r="I9" s="17" t="s">
        <v>154</v>
      </c>
      <c r="J9" s="4" t="s">
        <v>647</v>
      </c>
      <c r="K9" s="4" t="s">
        <v>648</v>
      </c>
      <c r="L9" s="17"/>
      <c r="M9" s="17" t="s">
        <v>649</v>
      </c>
      <c r="N9" s="18">
        <v>7550</v>
      </c>
      <c r="O9" s="17" t="s">
        <v>31</v>
      </c>
      <c r="P9" s="19">
        <f t="shared" si="0"/>
        <v>0.80731394354148844</v>
      </c>
      <c r="Q9" s="19">
        <v>0.03</v>
      </c>
      <c r="R9" s="4" t="s">
        <v>157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17</v>
      </c>
      <c r="G10" s="73">
        <v>46182</v>
      </c>
      <c r="H10" s="18">
        <v>9416</v>
      </c>
      <c r="I10" s="17" t="s">
        <v>212</v>
      </c>
      <c r="J10" s="4" t="s">
        <v>650</v>
      </c>
      <c r="K10" s="4" t="s">
        <v>651</v>
      </c>
      <c r="L10" s="17"/>
      <c r="M10" s="17"/>
      <c r="N10" s="18">
        <v>6600</v>
      </c>
      <c r="O10" s="17" t="s">
        <v>31</v>
      </c>
      <c r="P10" s="19">
        <f t="shared" si="0"/>
        <v>0.7009345794392523</v>
      </c>
      <c r="Q10" s="19">
        <v>0.04</v>
      </c>
      <c r="R10" s="4" t="s">
        <v>652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1.03</v>
      </c>
      <c r="B11" s="16">
        <v>119000</v>
      </c>
      <c r="C11" s="8"/>
      <c r="D11" s="3"/>
      <c r="E11" s="60">
        <v>6</v>
      </c>
      <c r="F11" s="17">
        <v>16</v>
      </c>
      <c r="G11" s="73">
        <v>46181</v>
      </c>
      <c r="H11" s="18">
        <v>10316</v>
      </c>
      <c r="I11" s="17" t="s">
        <v>47</v>
      </c>
      <c r="J11" s="4" t="s">
        <v>653</v>
      </c>
      <c r="K11" s="4" t="s">
        <v>654</v>
      </c>
      <c r="L11" s="17"/>
      <c r="M11" s="17"/>
      <c r="N11" s="18">
        <v>7530</v>
      </c>
      <c r="O11" s="17" t="s">
        <v>31</v>
      </c>
      <c r="P11" s="19">
        <f t="shared" si="0"/>
        <v>0.72993408297789841</v>
      </c>
      <c r="Q11" s="19">
        <v>0.02</v>
      </c>
      <c r="R11" s="4" t="s">
        <v>261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15</v>
      </c>
      <c r="G12" s="73">
        <v>46180</v>
      </c>
      <c r="H12" s="18">
        <v>7668</v>
      </c>
      <c r="I12" s="17" t="s">
        <v>54</v>
      </c>
      <c r="J12" s="4" t="s">
        <v>655</v>
      </c>
      <c r="K12" s="4" t="s">
        <v>656</v>
      </c>
      <c r="L12" s="17"/>
      <c r="M12" s="85" t="s">
        <v>57</v>
      </c>
      <c r="N12" s="18">
        <v>6000</v>
      </c>
      <c r="O12" s="17" t="s">
        <v>31</v>
      </c>
      <c r="P12" s="19">
        <f t="shared" si="0"/>
        <v>0.78247261345852892</v>
      </c>
      <c r="Q12" s="19">
        <v>0.01</v>
      </c>
      <c r="R12" s="4" t="s">
        <v>657</v>
      </c>
      <c r="S12" s="17" t="s">
        <v>349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15236250</v>
      </c>
      <c r="D13" s="3"/>
      <c r="E13" s="60">
        <v>8</v>
      </c>
      <c r="F13" s="17">
        <v>14</v>
      </c>
      <c r="G13" s="73">
        <v>46179</v>
      </c>
      <c r="H13" s="18">
        <v>8137</v>
      </c>
      <c r="I13" s="17" t="s">
        <v>59</v>
      </c>
      <c r="J13" s="4" t="s">
        <v>658</v>
      </c>
      <c r="K13" s="4" t="s">
        <v>449</v>
      </c>
      <c r="L13" s="17"/>
      <c r="M13" s="85" t="s">
        <v>57</v>
      </c>
      <c r="N13" s="18">
        <v>6000</v>
      </c>
      <c r="O13" s="17" t="s">
        <v>31</v>
      </c>
      <c r="P13" s="19">
        <f t="shared" si="0"/>
        <v>0.73737249600589894</v>
      </c>
      <c r="Q13" s="19"/>
      <c r="R13" s="4" t="s">
        <v>488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12607500</v>
      </c>
      <c r="D14" s="3"/>
      <c r="E14" s="60">
        <v>9</v>
      </c>
      <c r="F14" s="17">
        <v>13</v>
      </c>
      <c r="G14" s="73">
        <v>46178</v>
      </c>
      <c r="H14" s="18">
        <v>8122</v>
      </c>
      <c r="I14" s="17" t="s">
        <v>64</v>
      </c>
      <c r="J14" s="4" t="s">
        <v>659</v>
      </c>
      <c r="K14" s="4" t="s">
        <v>660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0.61561191824673722</v>
      </c>
      <c r="Q14" s="19">
        <v>0.01</v>
      </c>
      <c r="R14" s="4" t="s">
        <v>661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12</v>
      </c>
      <c r="G15" s="73">
        <v>46177</v>
      </c>
      <c r="H15" s="18">
        <v>6783</v>
      </c>
      <c r="I15" s="17" t="s">
        <v>69</v>
      </c>
      <c r="J15" s="4" t="s">
        <v>165</v>
      </c>
      <c r="K15" s="4" t="s">
        <v>221</v>
      </c>
      <c r="L15" s="17"/>
      <c r="M15" s="85" t="s">
        <v>57</v>
      </c>
      <c r="N15" s="18">
        <v>5000</v>
      </c>
      <c r="O15" s="17" t="s">
        <v>31</v>
      </c>
      <c r="P15" s="19">
        <f t="shared" si="0"/>
        <v>0.73713696004717677</v>
      </c>
      <c r="Q15" s="19"/>
      <c r="R15" s="4" t="s">
        <v>662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2500000</v>
      </c>
      <c r="D16" s="3"/>
      <c r="E16" s="60">
        <v>11</v>
      </c>
      <c r="F16" s="17">
        <v>11</v>
      </c>
      <c r="G16" s="73">
        <v>46176</v>
      </c>
      <c r="H16" s="18">
        <v>8265</v>
      </c>
      <c r="I16" s="17" t="s">
        <v>169</v>
      </c>
      <c r="J16" s="4" t="s">
        <v>70</v>
      </c>
      <c r="K16" s="4" t="s">
        <v>71</v>
      </c>
      <c r="L16" s="41"/>
      <c r="M16" s="85" t="s">
        <v>170</v>
      </c>
      <c r="N16" s="18">
        <v>6342</v>
      </c>
      <c r="O16" s="17" t="s">
        <v>31</v>
      </c>
      <c r="P16" s="19">
        <f t="shared" si="0"/>
        <v>0.76733212341197821</v>
      </c>
      <c r="Q16" s="19"/>
      <c r="R16" s="4" t="s">
        <v>663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15</v>
      </c>
      <c r="G21" s="45">
        <v>46186</v>
      </c>
      <c r="H21" s="46">
        <v>6342</v>
      </c>
      <c r="I21" s="46">
        <v>5707</v>
      </c>
      <c r="J21" s="44" t="s">
        <v>169</v>
      </c>
      <c r="K21" s="47">
        <v>0.77</v>
      </c>
      <c r="L21" s="88"/>
      <c r="M21" s="49"/>
      <c r="N21" s="50" t="s">
        <v>491</v>
      </c>
      <c r="O21" s="44" t="s">
        <v>664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14</v>
      </c>
      <c r="G22" s="45">
        <v>46185</v>
      </c>
      <c r="H22" s="46">
        <v>6155</v>
      </c>
      <c r="I22" s="46">
        <v>5540</v>
      </c>
      <c r="J22" s="44" t="s">
        <v>226</v>
      </c>
      <c r="K22" s="47">
        <v>0.74</v>
      </c>
      <c r="L22" s="88"/>
      <c r="M22" s="49" t="s">
        <v>665</v>
      </c>
      <c r="N22" s="50" t="s">
        <v>314</v>
      </c>
      <c r="O22" s="44" t="s">
        <v>315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12</v>
      </c>
      <c r="G23" s="45">
        <v>46184</v>
      </c>
      <c r="H23" s="46">
        <v>3676</v>
      </c>
      <c r="I23" s="46">
        <v>3309</v>
      </c>
      <c r="J23" s="44" t="s">
        <v>88</v>
      </c>
      <c r="K23" s="47">
        <v>0.49</v>
      </c>
      <c r="L23" s="48"/>
      <c r="M23" s="49" t="s">
        <v>666</v>
      </c>
      <c r="N23" s="50" t="s">
        <v>370</v>
      </c>
      <c r="O23" s="44" t="s">
        <v>667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11</v>
      </c>
      <c r="G24" s="45">
        <v>46183</v>
      </c>
      <c r="H24" s="46">
        <v>3495</v>
      </c>
      <c r="I24" s="46">
        <v>3146</v>
      </c>
      <c r="J24" s="44" t="s">
        <v>92</v>
      </c>
      <c r="K24" s="47">
        <v>0.76</v>
      </c>
      <c r="L24" s="88"/>
      <c r="M24" s="49" t="s">
        <v>668</v>
      </c>
      <c r="N24" s="50" t="s">
        <v>454</v>
      </c>
      <c r="O24" s="44" t="s">
        <v>455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14</v>
      </c>
      <c r="F25" s="44">
        <v>10</v>
      </c>
      <c r="G25" s="45">
        <v>46183</v>
      </c>
      <c r="H25" s="46">
        <v>3542</v>
      </c>
      <c r="I25" s="46">
        <v>3188</v>
      </c>
      <c r="J25" s="44" t="s">
        <v>92</v>
      </c>
      <c r="K25" s="47">
        <v>0.76</v>
      </c>
      <c r="L25" s="48">
        <v>0.01</v>
      </c>
      <c r="M25" s="49" t="s">
        <v>669</v>
      </c>
      <c r="N25" s="50" t="s">
        <v>320</v>
      </c>
      <c r="O25" s="44" t="s">
        <v>670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15</v>
      </c>
      <c r="F26" s="44">
        <v>9</v>
      </c>
      <c r="G26" s="45">
        <v>46182</v>
      </c>
      <c r="H26" s="46">
        <v>6007</v>
      </c>
      <c r="I26" s="46">
        <v>5406</v>
      </c>
      <c r="J26" s="44" t="s">
        <v>96</v>
      </c>
      <c r="K26" s="47">
        <v>0.7</v>
      </c>
      <c r="L26" s="88"/>
      <c r="M26" s="49" t="s">
        <v>671</v>
      </c>
      <c r="N26" s="50" t="s">
        <v>379</v>
      </c>
      <c r="O26" s="44" t="s">
        <v>95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16</v>
      </c>
      <c r="F27" s="44">
        <v>8</v>
      </c>
      <c r="G27" s="45">
        <v>46181</v>
      </c>
      <c r="H27" s="46">
        <v>5480</v>
      </c>
      <c r="I27" s="46">
        <v>4932</v>
      </c>
      <c r="J27" s="44" t="s">
        <v>102</v>
      </c>
      <c r="K27" s="47">
        <v>0.68</v>
      </c>
      <c r="L27" s="48"/>
      <c r="M27" s="49" t="s">
        <v>672</v>
      </c>
      <c r="N27" s="50" t="s">
        <v>497</v>
      </c>
      <c r="O27" s="44" t="s">
        <v>673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19</v>
      </c>
      <c r="F28" s="44">
        <v>7</v>
      </c>
      <c r="G28" s="45">
        <v>46178</v>
      </c>
      <c r="H28" s="46">
        <v>3654</v>
      </c>
      <c r="I28" s="46">
        <v>3288</v>
      </c>
      <c r="J28" s="44" t="s">
        <v>331</v>
      </c>
      <c r="K28" s="47">
        <v>0.75</v>
      </c>
      <c r="L28" s="88"/>
      <c r="M28" s="49" t="s">
        <v>674</v>
      </c>
      <c r="N28" s="50" t="s">
        <v>329</v>
      </c>
      <c r="O28" s="44" t="s">
        <v>675</v>
      </c>
      <c r="P28" s="46">
        <v>1643</v>
      </c>
      <c r="Q28" s="52">
        <f>P28/H28</f>
        <v>0.44964422550629446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E31" s="55" t="s">
        <v>110</v>
      </c>
      <c r="I31" s="56" t="s">
        <v>76</v>
      </c>
      <c r="J31" s="105" t="s">
        <v>111</v>
      </c>
      <c r="K31" s="106"/>
      <c r="L31" s="107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58" t="s">
        <v>112</v>
      </c>
      <c r="F32" s="89"/>
      <c r="G32" s="17" t="s">
        <v>151</v>
      </c>
      <c r="H32" s="4"/>
      <c r="I32" s="3"/>
      <c r="J32" s="59" t="s">
        <v>114</v>
      </c>
      <c r="K32" s="59" t="s">
        <v>115</v>
      </c>
      <c r="L32" s="59" t="s">
        <v>116</v>
      </c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3"/>
      <c r="F33" s="42"/>
      <c r="G33" s="17"/>
      <c r="H33" s="3"/>
      <c r="I33" s="3"/>
      <c r="J33" s="3" t="s">
        <v>117</v>
      </c>
      <c r="K33" s="53"/>
      <c r="L33" s="3" t="s">
        <v>676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3" t="s">
        <v>118</v>
      </c>
      <c r="F34" s="17"/>
      <c r="G34" s="89"/>
      <c r="H34" s="3"/>
      <c r="I34" s="3"/>
      <c r="J34" s="3"/>
      <c r="K34" s="4"/>
      <c r="L34" s="53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17" t="s">
        <v>119</v>
      </c>
      <c r="F35" s="17" t="s">
        <v>151</v>
      </c>
      <c r="G35" s="17"/>
      <c r="H35" s="3"/>
      <c r="I35" s="3"/>
      <c r="J35" s="3" t="s">
        <v>120</v>
      </c>
      <c r="K35" s="53"/>
      <c r="L35" s="53">
        <v>0.05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17" t="s">
        <v>122</v>
      </c>
      <c r="F36" s="17">
        <v>0</v>
      </c>
      <c r="G36" s="17"/>
      <c r="H36" s="5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5"/>
      <c r="F37" s="17"/>
      <c r="G37" s="17"/>
      <c r="H37" s="5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5" t="s">
        <v>123</v>
      </c>
      <c r="F38" s="17"/>
      <c r="G38" s="17"/>
      <c r="H38" s="53"/>
      <c r="I38" s="3"/>
      <c r="J38" s="3"/>
      <c r="K38" s="17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61" t="s">
        <v>124</v>
      </c>
      <c r="F39" s="17">
        <v>0</v>
      </c>
      <c r="G39" s="17"/>
      <c r="H39" s="3"/>
      <c r="I39" s="3"/>
      <c r="J39" s="62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1" t="s">
        <v>125</v>
      </c>
      <c r="F40" s="17">
        <v>0</v>
      </c>
      <c r="G40" s="17"/>
      <c r="H40" s="3"/>
      <c r="I40" s="3"/>
      <c r="J40" s="63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3"/>
      <c r="F41" s="3"/>
      <c r="G41" s="3"/>
      <c r="H41" s="3"/>
      <c r="I41" s="3"/>
      <c r="J41" s="64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55" t="s">
        <v>126</v>
      </c>
      <c r="F42" s="55"/>
      <c r="G42" s="3"/>
      <c r="H42" s="3"/>
      <c r="J42" s="4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65" t="s">
        <v>20</v>
      </c>
      <c r="F43" s="65" t="s">
        <v>127</v>
      </c>
      <c r="G43" s="65" t="s">
        <v>128</v>
      </c>
      <c r="H43" s="65" t="s">
        <v>129</v>
      </c>
      <c r="I43" s="65" t="s">
        <v>87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6" t="s">
        <v>188</v>
      </c>
      <c r="F44" s="67">
        <v>1120</v>
      </c>
      <c r="G44" s="68">
        <v>0</v>
      </c>
      <c r="H44" s="69" t="s">
        <v>131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70" t="s">
        <v>190</v>
      </c>
      <c r="F45" s="67">
        <v>228</v>
      </c>
      <c r="G45" s="68">
        <v>0</v>
      </c>
      <c r="H45" s="69" t="s">
        <v>131</v>
      </c>
      <c r="I45" s="68" t="s">
        <v>339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391</v>
      </c>
      <c r="F46" s="67">
        <v>223</v>
      </c>
      <c r="G46" s="68">
        <v>0</v>
      </c>
      <c r="H46" s="69" t="s">
        <v>131</v>
      </c>
      <c r="I46" s="68" t="s">
        <v>40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66" t="s">
        <v>194</v>
      </c>
      <c r="F47" s="71">
        <v>480</v>
      </c>
      <c r="G47" s="72"/>
      <c r="H47" s="69" t="s">
        <v>131</v>
      </c>
      <c r="I47" s="6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 t="s">
        <v>195</v>
      </c>
      <c r="F48" s="71">
        <v>140</v>
      </c>
      <c r="G48" s="72"/>
      <c r="H48" s="69" t="s">
        <v>131</v>
      </c>
      <c r="I48" s="68"/>
      <c r="J48" s="4"/>
      <c r="K48" s="4"/>
      <c r="L48" s="4"/>
      <c r="M48" s="73"/>
      <c r="N48" s="18"/>
      <c r="O48" s="18"/>
      <c r="P48" s="17"/>
      <c r="Q48" s="74"/>
      <c r="R48" s="53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 t="s">
        <v>394</v>
      </c>
      <c r="F49" s="71">
        <v>145</v>
      </c>
      <c r="G49" s="72"/>
      <c r="H49" s="69" t="s">
        <v>131</v>
      </c>
      <c r="I49" s="68" t="s">
        <v>677</v>
      </c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66"/>
      <c r="F51" s="4" t="s">
        <v>140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70"/>
      <c r="F52" s="4" t="s">
        <v>141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5"/>
      <c r="F53" s="4" t="s">
        <v>142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6"/>
      <c r="F54" s="4" t="s">
        <v>143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1:L31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158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645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2</v>
      </c>
      <c r="G6" s="73">
        <v>46187</v>
      </c>
      <c r="H6" s="18">
        <v>9393</v>
      </c>
      <c r="I6" s="17" t="s">
        <v>28</v>
      </c>
      <c r="J6" s="4" t="s">
        <v>29</v>
      </c>
      <c r="K6" s="4" t="s">
        <v>538</v>
      </c>
      <c r="L6" s="17">
        <v>0</v>
      </c>
      <c r="M6" s="86"/>
      <c r="N6" s="18">
        <v>9393</v>
      </c>
      <c r="O6" s="17" t="s">
        <v>31</v>
      </c>
      <c r="P6" s="19">
        <f t="shared" ref="P6:P16" si="0">N6/H6</f>
        <v>1</v>
      </c>
      <c r="Q6" s="19">
        <v>0.05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1</v>
      </c>
      <c r="G7" s="73">
        <v>46186</v>
      </c>
      <c r="H7" s="18">
        <v>9453</v>
      </c>
      <c r="I7" s="17" t="s">
        <v>37</v>
      </c>
      <c r="J7" s="4" t="s">
        <v>38</v>
      </c>
      <c r="K7" s="4" t="s">
        <v>678</v>
      </c>
      <c r="L7" s="17"/>
      <c r="M7" s="17" t="s">
        <v>151</v>
      </c>
      <c r="N7" s="18">
        <v>9453</v>
      </c>
      <c r="O7" s="17" t="s">
        <v>31</v>
      </c>
      <c r="P7" s="19">
        <f t="shared" si="0"/>
        <v>1</v>
      </c>
      <c r="Q7" s="19">
        <v>0.01</v>
      </c>
      <c r="R7" s="4" t="s">
        <v>203</v>
      </c>
      <c r="S7" s="17" t="s">
        <v>604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135</v>
      </c>
      <c r="B8" s="16">
        <v>161000</v>
      </c>
      <c r="C8" s="24">
        <v>0.68</v>
      </c>
      <c r="D8" s="3"/>
      <c r="E8" s="60">
        <v>3</v>
      </c>
      <c r="F8" s="17">
        <v>20</v>
      </c>
      <c r="G8" s="73">
        <v>46185</v>
      </c>
      <c r="H8" s="18">
        <v>9281</v>
      </c>
      <c r="I8" s="17" t="s">
        <v>42</v>
      </c>
      <c r="J8" s="4" t="s">
        <v>43</v>
      </c>
      <c r="K8" s="4" t="s">
        <v>43</v>
      </c>
      <c r="L8" s="17"/>
      <c r="M8" s="17" t="s">
        <v>151</v>
      </c>
      <c r="N8" s="18">
        <v>6520</v>
      </c>
      <c r="O8" s="17" t="s">
        <v>31</v>
      </c>
      <c r="P8" s="19">
        <f t="shared" si="0"/>
        <v>0.70251050533347703</v>
      </c>
      <c r="Q8" s="19"/>
      <c r="R8" s="4" t="s">
        <v>679</v>
      </c>
      <c r="S8" s="17" t="s">
        <v>207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19</v>
      </c>
      <c r="G9" s="73">
        <v>46184</v>
      </c>
      <c r="H9" s="18">
        <v>9555</v>
      </c>
      <c r="I9" s="17" t="s">
        <v>154</v>
      </c>
      <c r="J9" s="4" t="s">
        <v>680</v>
      </c>
      <c r="K9" s="4" t="s">
        <v>681</v>
      </c>
      <c r="L9" s="17"/>
      <c r="M9" s="17" t="s">
        <v>151</v>
      </c>
      <c r="N9" s="18">
        <v>7781</v>
      </c>
      <c r="O9" s="17" t="s">
        <v>31</v>
      </c>
      <c r="P9" s="19">
        <f t="shared" si="0"/>
        <v>0.81433804290947143</v>
      </c>
      <c r="Q9" s="19">
        <v>0.05</v>
      </c>
      <c r="R9" s="4" t="s">
        <v>45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18</v>
      </c>
      <c r="G10" s="73">
        <v>46183</v>
      </c>
      <c r="H10" s="18">
        <v>9352</v>
      </c>
      <c r="I10" s="17" t="s">
        <v>212</v>
      </c>
      <c r="J10" s="4" t="s">
        <v>682</v>
      </c>
      <c r="K10" s="4" t="s">
        <v>213</v>
      </c>
      <c r="L10" s="17"/>
      <c r="M10" s="17"/>
      <c r="N10" s="18">
        <v>7200</v>
      </c>
      <c r="O10" s="17" t="s">
        <v>31</v>
      </c>
      <c r="P10" s="19">
        <f t="shared" si="0"/>
        <v>0.7698887938408896</v>
      </c>
      <c r="Q10" s="19">
        <v>0.02</v>
      </c>
      <c r="R10" s="4" t="s">
        <v>45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1.18</v>
      </c>
      <c r="B11" s="16">
        <v>131000</v>
      </c>
      <c r="C11" s="8"/>
      <c r="D11" s="3"/>
      <c r="E11" s="60">
        <v>6</v>
      </c>
      <c r="F11" s="17">
        <v>17</v>
      </c>
      <c r="G11" s="73">
        <v>46182</v>
      </c>
      <c r="H11" s="18">
        <v>9416</v>
      </c>
      <c r="I11" s="17" t="s">
        <v>47</v>
      </c>
      <c r="J11" s="4" t="s">
        <v>683</v>
      </c>
      <c r="K11" s="4" t="s">
        <v>684</v>
      </c>
      <c r="L11" s="17"/>
      <c r="M11" s="17"/>
      <c r="N11" s="18">
        <v>6000</v>
      </c>
      <c r="O11" s="17" t="s">
        <v>31</v>
      </c>
      <c r="P11" s="19">
        <f t="shared" si="0"/>
        <v>0.63721325403568396</v>
      </c>
      <c r="Q11" s="19">
        <v>0.02</v>
      </c>
      <c r="R11" s="4" t="s">
        <v>685</v>
      </c>
      <c r="S11" s="17" t="s">
        <v>349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16</v>
      </c>
      <c r="G12" s="73">
        <v>46181</v>
      </c>
      <c r="H12" s="18">
        <v>10316</v>
      </c>
      <c r="I12" s="17" t="s">
        <v>54</v>
      </c>
      <c r="J12" s="4" t="s">
        <v>686</v>
      </c>
      <c r="K12" s="4" t="s">
        <v>687</v>
      </c>
      <c r="L12" s="17"/>
      <c r="M12" s="85" t="s">
        <v>57</v>
      </c>
      <c r="N12" s="18">
        <v>7000</v>
      </c>
      <c r="O12" s="17" t="s">
        <v>31</v>
      </c>
      <c r="P12" s="19">
        <f t="shared" si="0"/>
        <v>0.67855758045754166</v>
      </c>
      <c r="Q12" s="19">
        <v>0.02</v>
      </c>
      <c r="R12" s="4" t="s">
        <v>443</v>
      </c>
      <c r="S12" s="17" t="s">
        <v>78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17688750</v>
      </c>
      <c r="D13" s="3"/>
      <c r="E13" s="60">
        <v>8</v>
      </c>
      <c r="F13" s="17">
        <v>15</v>
      </c>
      <c r="G13" s="73">
        <v>46180</v>
      </c>
      <c r="H13" s="18">
        <v>7668</v>
      </c>
      <c r="I13" s="17" t="s">
        <v>59</v>
      </c>
      <c r="J13" s="4" t="s">
        <v>688</v>
      </c>
      <c r="K13" s="4" t="s">
        <v>689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0.65206051121544084</v>
      </c>
      <c r="Q13" s="19"/>
      <c r="R13" s="4" t="s">
        <v>690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15855000</v>
      </c>
      <c r="D14" s="3"/>
      <c r="E14" s="60">
        <v>9</v>
      </c>
      <c r="F14" s="17">
        <v>14</v>
      </c>
      <c r="G14" s="73">
        <v>46179</v>
      </c>
      <c r="H14" s="18">
        <v>8137</v>
      </c>
      <c r="I14" s="17" t="s">
        <v>64</v>
      </c>
      <c r="J14" s="4" t="s">
        <v>165</v>
      </c>
      <c r="K14" s="4" t="s">
        <v>221</v>
      </c>
      <c r="L14" s="17"/>
      <c r="M14" s="85" t="s">
        <v>57</v>
      </c>
      <c r="N14" s="18">
        <v>6000</v>
      </c>
      <c r="O14" s="17" t="s">
        <v>31</v>
      </c>
      <c r="P14" s="19">
        <f t="shared" si="0"/>
        <v>0.73737249600589894</v>
      </c>
      <c r="Q14" s="19"/>
      <c r="R14" s="4" t="s">
        <v>691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13</v>
      </c>
      <c r="G15" s="73">
        <v>46178</v>
      </c>
      <c r="H15" s="18">
        <v>8122</v>
      </c>
      <c r="I15" s="17" t="s">
        <v>69</v>
      </c>
      <c r="J15" s="4" t="s">
        <v>164</v>
      </c>
      <c r="K15" s="4" t="s">
        <v>692</v>
      </c>
      <c r="L15" s="17"/>
      <c r="M15" s="85" t="s">
        <v>57</v>
      </c>
      <c r="N15" s="18">
        <v>5000</v>
      </c>
      <c r="O15" s="17" t="s">
        <v>31</v>
      </c>
      <c r="P15" s="19">
        <f t="shared" si="0"/>
        <v>0.61561191824673722</v>
      </c>
      <c r="Q15" s="19"/>
      <c r="R15" s="4" t="s">
        <v>693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1500000</v>
      </c>
      <c r="D16" s="3"/>
      <c r="E16" s="60">
        <v>11</v>
      </c>
      <c r="F16" s="17">
        <v>12</v>
      </c>
      <c r="G16" s="73">
        <v>46177</v>
      </c>
      <c r="H16" s="18">
        <v>6783</v>
      </c>
      <c r="I16" s="17" t="s">
        <v>169</v>
      </c>
      <c r="J16" s="4" t="s">
        <v>70</v>
      </c>
      <c r="K16" s="4" t="s">
        <v>71</v>
      </c>
      <c r="L16" s="41"/>
      <c r="M16" s="85" t="s">
        <v>170</v>
      </c>
      <c r="N16" s="18">
        <v>5499</v>
      </c>
      <c r="O16" s="17" t="s">
        <v>31</v>
      </c>
      <c r="P16" s="19">
        <f t="shared" si="0"/>
        <v>0.81070322865988498</v>
      </c>
      <c r="Q16" s="19"/>
      <c r="R16" s="4" t="s">
        <v>694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16</v>
      </c>
      <c r="G21" s="45">
        <v>46187</v>
      </c>
      <c r="H21" s="46">
        <v>5499</v>
      </c>
      <c r="I21" s="46">
        <v>4949</v>
      </c>
      <c r="J21" s="44" t="s">
        <v>169</v>
      </c>
      <c r="K21" s="47">
        <v>0.81</v>
      </c>
      <c r="L21" s="88"/>
      <c r="M21" s="49"/>
      <c r="N21" s="50" t="s">
        <v>695</v>
      </c>
      <c r="O21" s="44" t="s">
        <v>696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15</v>
      </c>
      <c r="G22" s="45">
        <v>46186</v>
      </c>
      <c r="H22" s="46">
        <v>6342</v>
      </c>
      <c r="I22" s="46">
        <v>5707</v>
      </c>
      <c r="J22" s="44" t="s">
        <v>226</v>
      </c>
      <c r="K22" s="47">
        <v>0.77</v>
      </c>
      <c r="L22" s="88"/>
      <c r="M22" s="49" t="s">
        <v>697</v>
      </c>
      <c r="N22" s="50" t="s">
        <v>698</v>
      </c>
      <c r="O22" s="44" t="s">
        <v>699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14</v>
      </c>
      <c r="G23" s="45">
        <v>46185</v>
      </c>
      <c r="H23" s="46">
        <v>6155</v>
      </c>
      <c r="I23" s="46">
        <v>5540</v>
      </c>
      <c r="J23" s="44" t="s">
        <v>88</v>
      </c>
      <c r="K23" s="47">
        <v>0.74</v>
      </c>
      <c r="L23" s="88"/>
      <c r="M23" s="49" t="s">
        <v>700</v>
      </c>
      <c r="N23" s="50" t="s">
        <v>370</v>
      </c>
      <c r="O23" s="44" t="s">
        <v>371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12</v>
      </c>
      <c r="G24" s="45">
        <v>46184</v>
      </c>
      <c r="H24" s="46">
        <v>3676</v>
      </c>
      <c r="I24" s="46">
        <v>3309</v>
      </c>
      <c r="J24" s="44" t="s">
        <v>92</v>
      </c>
      <c r="K24" s="47">
        <v>0.49</v>
      </c>
      <c r="L24" s="48"/>
      <c r="M24" s="49" t="s">
        <v>701</v>
      </c>
      <c r="N24" s="50" t="s">
        <v>323</v>
      </c>
      <c r="O24" s="44" t="s">
        <v>702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15</v>
      </c>
      <c r="F25" s="44">
        <v>11</v>
      </c>
      <c r="G25" s="45">
        <v>46183</v>
      </c>
      <c r="H25" s="46">
        <v>3495</v>
      </c>
      <c r="I25" s="46">
        <v>3146</v>
      </c>
      <c r="J25" s="44" t="s">
        <v>96</v>
      </c>
      <c r="K25" s="47">
        <v>0.76</v>
      </c>
      <c r="L25" s="88"/>
      <c r="M25" s="49" t="s">
        <v>703</v>
      </c>
      <c r="N25" s="50" t="s">
        <v>704</v>
      </c>
      <c r="O25" s="44" t="s">
        <v>705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15</v>
      </c>
      <c r="F26" s="44">
        <v>10</v>
      </c>
      <c r="G26" s="45">
        <v>46183</v>
      </c>
      <c r="H26" s="46">
        <v>3542</v>
      </c>
      <c r="I26" s="46">
        <v>3188</v>
      </c>
      <c r="J26" s="44" t="s">
        <v>96</v>
      </c>
      <c r="K26" s="47">
        <v>0.76</v>
      </c>
      <c r="L26" s="48"/>
      <c r="M26" s="49" t="s">
        <v>706</v>
      </c>
      <c r="N26" s="50" t="s">
        <v>379</v>
      </c>
      <c r="O26" s="44" t="s">
        <v>95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16</v>
      </c>
      <c r="F27" s="44">
        <v>9</v>
      </c>
      <c r="G27" s="45">
        <v>46182</v>
      </c>
      <c r="H27" s="46">
        <v>6007</v>
      </c>
      <c r="I27" s="46">
        <v>5406</v>
      </c>
      <c r="J27" s="44" t="s">
        <v>102</v>
      </c>
      <c r="K27" s="47">
        <v>0.7</v>
      </c>
      <c r="L27" s="48">
        <v>0.01</v>
      </c>
      <c r="M27" s="49" t="s">
        <v>707</v>
      </c>
      <c r="N27" s="50" t="s">
        <v>277</v>
      </c>
      <c r="O27" s="44" t="s">
        <v>708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17</v>
      </c>
      <c r="F28" s="44">
        <v>8</v>
      </c>
      <c r="G28" s="45">
        <v>46181</v>
      </c>
      <c r="H28" s="46">
        <v>5480</v>
      </c>
      <c r="I28" s="46">
        <v>4932</v>
      </c>
      <c r="J28" s="44" t="s">
        <v>107</v>
      </c>
      <c r="K28" s="47">
        <v>0.68</v>
      </c>
      <c r="L28" s="48"/>
      <c r="M28" s="49" t="s">
        <v>709</v>
      </c>
      <c r="N28" s="50" t="s">
        <v>710</v>
      </c>
      <c r="O28" s="44" t="s">
        <v>315</v>
      </c>
      <c r="P28" s="46">
        <v>2220</v>
      </c>
      <c r="Q28" s="52">
        <f t="shared" ref="Q28:Q29" si="1">P28/H28</f>
        <v>0.4051094890510949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44">
        <v>20</v>
      </c>
      <c r="F29" s="44">
        <v>7</v>
      </c>
      <c r="G29" s="45">
        <v>46178</v>
      </c>
      <c r="H29" s="46">
        <v>3654</v>
      </c>
      <c r="I29" s="46">
        <v>3288</v>
      </c>
      <c r="J29" s="44" t="s">
        <v>385</v>
      </c>
      <c r="K29" s="47">
        <v>0.75</v>
      </c>
      <c r="L29" s="88"/>
      <c r="M29" s="49"/>
      <c r="N29" s="50" t="s">
        <v>711</v>
      </c>
      <c r="O29" s="44" t="s">
        <v>699</v>
      </c>
      <c r="P29" s="46">
        <v>3563</v>
      </c>
      <c r="Q29" s="52">
        <f t="shared" si="1"/>
        <v>0.97509578544061304</v>
      </c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55" t="s">
        <v>110</v>
      </c>
      <c r="I32" s="56" t="s">
        <v>76</v>
      </c>
      <c r="J32" s="105" t="s">
        <v>111</v>
      </c>
      <c r="K32" s="106"/>
      <c r="L32" s="107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8" t="s">
        <v>112</v>
      </c>
      <c r="F33" s="89"/>
      <c r="G33" s="17" t="s">
        <v>151</v>
      </c>
      <c r="H33" s="4"/>
      <c r="I33" s="3"/>
      <c r="J33" s="59" t="s">
        <v>114</v>
      </c>
      <c r="K33" s="59" t="s">
        <v>115</v>
      </c>
      <c r="L33" s="59" t="s">
        <v>116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3"/>
      <c r="F34" s="42"/>
      <c r="G34" s="17"/>
      <c r="H34" s="3"/>
      <c r="I34" s="3"/>
      <c r="J34" s="3" t="s">
        <v>117</v>
      </c>
      <c r="K34" s="53"/>
      <c r="L34" s="3" t="s">
        <v>712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 t="s">
        <v>118</v>
      </c>
      <c r="F35" s="17"/>
      <c r="G35" s="89"/>
      <c r="H35" s="3"/>
      <c r="I35" s="3"/>
      <c r="J35" s="3"/>
      <c r="K35" s="4"/>
      <c r="L35" s="53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17" t="s">
        <v>119</v>
      </c>
      <c r="F36" s="17" t="s">
        <v>151</v>
      </c>
      <c r="G36" s="17"/>
      <c r="H36" s="3"/>
      <c r="I36" s="3"/>
      <c r="J36" s="3" t="s">
        <v>120</v>
      </c>
      <c r="K36" s="53"/>
      <c r="L36" s="3" t="s">
        <v>713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17" t="s">
        <v>122</v>
      </c>
      <c r="F37" s="17">
        <v>0</v>
      </c>
      <c r="G37" s="17"/>
      <c r="H37" s="5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"/>
      <c r="F38" s="17"/>
      <c r="G38" s="17"/>
      <c r="H38" s="5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123</v>
      </c>
      <c r="F39" s="17"/>
      <c r="G39" s="17"/>
      <c r="H39" s="53"/>
      <c r="I39" s="3"/>
      <c r="J39" s="3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1" t="s">
        <v>124</v>
      </c>
      <c r="F40" s="17">
        <v>0</v>
      </c>
      <c r="G40" s="17"/>
      <c r="H40" s="3"/>
      <c r="I40" s="3"/>
      <c r="J40" s="62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1" t="s">
        <v>125</v>
      </c>
      <c r="F41" s="17">
        <v>0</v>
      </c>
      <c r="G41" s="17"/>
      <c r="H41" s="3"/>
      <c r="I41" s="3"/>
      <c r="J41" s="63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3"/>
      <c r="F42" s="3"/>
      <c r="G42" s="3"/>
      <c r="H42" s="3"/>
      <c r="I42" s="3"/>
      <c r="J42" s="64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55" t="s">
        <v>126</v>
      </c>
      <c r="F43" s="55"/>
      <c r="G43" s="3"/>
      <c r="H43" s="3"/>
      <c r="J43" s="4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5" t="s">
        <v>20</v>
      </c>
      <c r="F44" s="65" t="s">
        <v>127</v>
      </c>
      <c r="G44" s="65" t="s">
        <v>128</v>
      </c>
      <c r="H44" s="65" t="s">
        <v>129</v>
      </c>
      <c r="I44" s="65" t="s">
        <v>87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241</v>
      </c>
      <c r="F45" s="67">
        <v>1120</v>
      </c>
      <c r="G45" s="68">
        <v>0</v>
      </c>
      <c r="H45" s="69" t="s">
        <v>131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242</v>
      </c>
      <c r="F46" s="67">
        <v>233</v>
      </c>
      <c r="G46" s="68">
        <v>0</v>
      </c>
      <c r="H46" s="69" t="s">
        <v>131</v>
      </c>
      <c r="I46" s="68" t="s">
        <v>40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426</v>
      </c>
      <c r="F47" s="67">
        <v>190</v>
      </c>
      <c r="G47" s="68">
        <v>0</v>
      </c>
      <c r="H47" s="69" t="s">
        <v>131</v>
      </c>
      <c r="I47" s="68" t="s">
        <v>425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 t="s">
        <v>244</v>
      </c>
      <c r="F48" s="71">
        <v>480</v>
      </c>
      <c r="G48" s="72"/>
      <c r="H48" s="69" t="s">
        <v>131</v>
      </c>
      <c r="I48" s="68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 t="s">
        <v>245</v>
      </c>
      <c r="F49" s="71">
        <v>143</v>
      </c>
      <c r="G49" s="72"/>
      <c r="H49" s="69" t="s">
        <v>131</v>
      </c>
      <c r="I49" s="68"/>
      <c r="J49" s="4"/>
      <c r="K49" s="4"/>
      <c r="L49" s="4"/>
      <c r="M49" s="73"/>
      <c r="N49" s="18"/>
      <c r="O49" s="18"/>
      <c r="P49" s="17"/>
      <c r="Q49" s="74"/>
      <c r="R49" s="53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 t="s">
        <v>428</v>
      </c>
      <c r="F50" s="71">
        <v>138</v>
      </c>
      <c r="G50" s="72"/>
      <c r="H50" s="69" t="s">
        <v>131</v>
      </c>
      <c r="I50" s="6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66"/>
      <c r="F52" s="4" t="s">
        <v>140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0"/>
      <c r="F53" s="4" t="s">
        <v>141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5"/>
      <c r="F54" s="4" t="s">
        <v>142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E55" s="76"/>
      <c r="F55" s="4" t="s">
        <v>143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2:L32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163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714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3</v>
      </c>
      <c r="G6" s="73">
        <v>46188</v>
      </c>
      <c r="H6" s="18">
        <v>8797</v>
      </c>
      <c r="I6" s="17" t="s">
        <v>28</v>
      </c>
      <c r="J6" s="4" t="s">
        <v>29</v>
      </c>
      <c r="K6" s="4" t="s">
        <v>715</v>
      </c>
      <c r="L6" s="17" t="s">
        <v>716</v>
      </c>
      <c r="M6" s="86"/>
      <c r="N6" s="18">
        <v>8797</v>
      </c>
      <c r="O6" s="17" t="s">
        <v>31</v>
      </c>
      <c r="P6" s="19">
        <f t="shared" ref="P6:P16" si="0">N6/H6</f>
        <v>1</v>
      </c>
      <c r="Q6" s="19">
        <v>0.1</v>
      </c>
      <c r="R6" s="4" t="s">
        <v>717</v>
      </c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2</v>
      </c>
      <c r="G7" s="73">
        <v>46187</v>
      </c>
      <c r="H7" s="18">
        <v>9393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9393</v>
      </c>
      <c r="O7" s="17" t="s">
        <v>31</v>
      </c>
      <c r="P7" s="19">
        <f t="shared" si="0"/>
        <v>1</v>
      </c>
      <c r="Q7" s="19">
        <v>0.03</v>
      </c>
      <c r="R7" s="4" t="s">
        <v>148</v>
      </c>
      <c r="S7" s="17" t="s">
        <v>604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148</v>
      </c>
      <c r="B8" s="16">
        <v>198000</v>
      </c>
      <c r="C8" s="24">
        <v>0.65</v>
      </c>
      <c r="D8" s="3"/>
      <c r="E8" s="60">
        <v>3</v>
      </c>
      <c r="F8" s="17">
        <v>1</v>
      </c>
      <c r="G8" s="73">
        <v>46186</v>
      </c>
      <c r="H8" s="18">
        <v>9453</v>
      </c>
      <c r="I8" s="17" t="s">
        <v>42</v>
      </c>
      <c r="J8" s="4" t="s">
        <v>718</v>
      </c>
      <c r="K8" s="4" t="s">
        <v>43</v>
      </c>
      <c r="L8" s="17"/>
      <c r="M8" s="17" t="s">
        <v>151</v>
      </c>
      <c r="N8" s="18">
        <v>8318</v>
      </c>
      <c r="O8" s="17" t="s">
        <v>31</v>
      </c>
      <c r="P8" s="19">
        <f t="shared" si="0"/>
        <v>0.87993229662540995</v>
      </c>
      <c r="Q8" s="19">
        <v>0.02</v>
      </c>
      <c r="R8" s="4" t="s">
        <v>203</v>
      </c>
      <c r="S8" s="17" t="s">
        <v>207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20</v>
      </c>
      <c r="G9" s="73">
        <v>46185</v>
      </c>
      <c r="H9" s="18">
        <v>9281</v>
      </c>
      <c r="I9" s="17" t="s">
        <v>154</v>
      </c>
      <c r="J9" s="4" t="s">
        <v>719</v>
      </c>
      <c r="K9" s="4" t="s">
        <v>208</v>
      </c>
      <c r="L9" s="17"/>
      <c r="M9" s="17" t="s">
        <v>151</v>
      </c>
      <c r="N9" s="18">
        <v>5580</v>
      </c>
      <c r="O9" s="17" t="s">
        <v>31</v>
      </c>
      <c r="P9" s="19">
        <f t="shared" si="0"/>
        <v>0.60122831591423342</v>
      </c>
      <c r="Q9" s="19">
        <v>0.09</v>
      </c>
      <c r="R9" s="4" t="s">
        <v>720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19</v>
      </c>
      <c r="G10" s="73">
        <v>46184</v>
      </c>
      <c r="H10" s="18">
        <v>9555</v>
      </c>
      <c r="I10" s="17" t="s">
        <v>212</v>
      </c>
      <c r="J10" s="4" t="s">
        <v>721</v>
      </c>
      <c r="K10" s="4" t="s">
        <v>722</v>
      </c>
      <c r="L10" s="17"/>
      <c r="M10" s="17"/>
      <c r="N10" s="18">
        <v>7550</v>
      </c>
      <c r="O10" s="17" t="s">
        <v>31</v>
      </c>
      <c r="P10" s="19">
        <f t="shared" si="0"/>
        <v>0.79016221873364734</v>
      </c>
      <c r="Q10" s="19">
        <v>0.02</v>
      </c>
      <c r="R10" s="4" t="s">
        <v>45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0.92</v>
      </c>
      <c r="B11" s="16">
        <v>118000</v>
      </c>
      <c r="C11" s="8"/>
      <c r="D11" s="3"/>
      <c r="E11" s="60">
        <v>6</v>
      </c>
      <c r="F11" s="17">
        <v>18</v>
      </c>
      <c r="G11" s="73">
        <v>46183</v>
      </c>
      <c r="H11" s="18">
        <v>9352</v>
      </c>
      <c r="I11" s="17" t="s">
        <v>47</v>
      </c>
      <c r="J11" s="4" t="s">
        <v>723</v>
      </c>
      <c r="K11" s="4" t="s">
        <v>724</v>
      </c>
      <c r="L11" s="17"/>
      <c r="M11" s="17"/>
      <c r="N11" s="18">
        <v>7000</v>
      </c>
      <c r="O11" s="17" t="s">
        <v>31</v>
      </c>
      <c r="P11" s="19">
        <f t="shared" si="0"/>
        <v>0.74850299401197606</v>
      </c>
      <c r="Q11" s="19">
        <v>0.02</v>
      </c>
      <c r="R11" s="4" t="s">
        <v>725</v>
      </c>
      <c r="S11" s="17" t="s">
        <v>349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17</v>
      </c>
      <c r="G12" s="73">
        <v>46182</v>
      </c>
      <c r="H12" s="18">
        <v>9416</v>
      </c>
      <c r="I12" s="17" t="s">
        <v>54</v>
      </c>
      <c r="J12" s="4" t="s">
        <v>726</v>
      </c>
      <c r="K12" s="4" t="s">
        <v>727</v>
      </c>
      <c r="L12" s="17"/>
      <c r="M12" s="85" t="s">
        <v>57</v>
      </c>
      <c r="N12" s="18">
        <v>5500</v>
      </c>
      <c r="O12" s="17" t="s">
        <v>31</v>
      </c>
      <c r="P12" s="19">
        <f t="shared" si="0"/>
        <v>0.58411214953271029</v>
      </c>
      <c r="Q12" s="19">
        <v>0.01</v>
      </c>
      <c r="R12" s="4" t="s">
        <v>728</v>
      </c>
      <c r="S12" s="17" t="s">
        <v>78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17508750</v>
      </c>
      <c r="D13" s="3"/>
      <c r="E13" s="60">
        <v>8</v>
      </c>
      <c r="F13" s="17">
        <v>16</v>
      </c>
      <c r="G13" s="73">
        <v>46181</v>
      </c>
      <c r="H13" s="18">
        <v>10316</v>
      </c>
      <c r="I13" s="17" t="s">
        <v>59</v>
      </c>
      <c r="J13" s="4" t="s">
        <v>729</v>
      </c>
      <c r="K13" s="4" t="s">
        <v>730</v>
      </c>
      <c r="L13" s="17"/>
      <c r="M13" s="85" t="s">
        <v>57</v>
      </c>
      <c r="N13" s="18">
        <v>7000</v>
      </c>
      <c r="O13" s="17" t="s">
        <v>31</v>
      </c>
      <c r="P13" s="19">
        <f t="shared" si="0"/>
        <v>0.67855758045754166</v>
      </c>
      <c r="Q13" s="19"/>
      <c r="R13" s="4" t="s">
        <v>731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12986250</v>
      </c>
      <c r="D14" s="3"/>
      <c r="E14" s="60">
        <v>9</v>
      </c>
      <c r="F14" s="17">
        <v>15</v>
      </c>
      <c r="G14" s="73">
        <v>46180</v>
      </c>
      <c r="H14" s="18">
        <v>7668</v>
      </c>
      <c r="I14" s="17" t="s">
        <v>64</v>
      </c>
      <c r="J14" s="4" t="s">
        <v>732</v>
      </c>
      <c r="K14" s="4" t="s">
        <v>520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0.65206051121544084</v>
      </c>
      <c r="Q14" s="19"/>
      <c r="R14" s="4" t="s">
        <v>733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14</v>
      </c>
      <c r="G15" s="73">
        <v>46179</v>
      </c>
      <c r="H15" s="18">
        <v>8137</v>
      </c>
      <c r="I15" s="17" t="s">
        <v>69</v>
      </c>
      <c r="J15" s="4" t="s">
        <v>71</v>
      </c>
      <c r="K15" s="4"/>
      <c r="L15" s="17"/>
      <c r="M15" s="85" t="s">
        <v>57</v>
      </c>
      <c r="N15" s="18">
        <v>6000</v>
      </c>
      <c r="O15" s="17" t="s">
        <v>31</v>
      </c>
      <c r="P15" s="19">
        <f t="shared" si="0"/>
        <v>0.73737249600589894</v>
      </c>
      <c r="Q15" s="19"/>
      <c r="R15" s="4" t="s">
        <v>734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4500000</v>
      </c>
      <c r="D16" s="3"/>
      <c r="E16" s="60">
        <v>11</v>
      </c>
      <c r="F16" s="17">
        <v>13</v>
      </c>
      <c r="G16" s="73">
        <v>46178</v>
      </c>
      <c r="H16" s="18">
        <v>8122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4319</v>
      </c>
      <c r="O16" s="17" t="s">
        <v>31</v>
      </c>
      <c r="P16" s="19">
        <f t="shared" si="0"/>
        <v>0.53176557498153165</v>
      </c>
      <c r="Q16" s="19"/>
      <c r="R16" s="4"/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17</v>
      </c>
      <c r="G21" s="45">
        <v>46188</v>
      </c>
      <c r="H21" s="46">
        <v>4319</v>
      </c>
      <c r="I21" s="46">
        <v>3887</v>
      </c>
      <c r="J21" s="44" t="s">
        <v>169</v>
      </c>
      <c r="K21" s="47">
        <v>0.53</v>
      </c>
      <c r="L21" s="48">
        <v>0.01</v>
      </c>
      <c r="M21" s="49" t="s">
        <v>735</v>
      </c>
      <c r="N21" s="50" t="s">
        <v>736</v>
      </c>
      <c r="O21" s="44" t="s">
        <v>737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16</v>
      </c>
      <c r="G22" s="45">
        <v>46187</v>
      </c>
      <c r="H22" s="46">
        <v>5499</v>
      </c>
      <c r="I22" s="46">
        <v>4949</v>
      </c>
      <c r="J22" s="44" t="s">
        <v>226</v>
      </c>
      <c r="K22" s="47">
        <v>0.81</v>
      </c>
      <c r="L22" s="88"/>
      <c r="M22" s="49" t="s">
        <v>738</v>
      </c>
      <c r="N22" s="50" t="s">
        <v>224</v>
      </c>
      <c r="O22" s="44" t="s">
        <v>230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15</v>
      </c>
      <c r="G23" s="45">
        <v>46186</v>
      </c>
      <c r="H23" s="46">
        <v>6342</v>
      </c>
      <c r="I23" s="46">
        <v>5707</v>
      </c>
      <c r="J23" s="44" t="s">
        <v>88</v>
      </c>
      <c r="K23" s="47">
        <v>0.77</v>
      </c>
      <c r="L23" s="88"/>
      <c r="M23" s="49" t="s">
        <v>739</v>
      </c>
      <c r="N23" s="50" t="s">
        <v>271</v>
      </c>
      <c r="O23" s="44" t="s">
        <v>740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14</v>
      </c>
      <c r="G24" s="45">
        <v>46185</v>
      </c>
      <c r="H24" s="46">
        <v>6155</v>
      </c>
      <c r="I24" s="46">
        <v>5540</v>
      </c>
      <c r="J24" s="44" t="s">
        <v>92</v>
      </c>
      <c r="K24" s="47">
        <v>0.74</v>
      </c>
      <c r="L24" s="88"/>
      <c r="M24" s="49" t="s">
        <v>741</v>
      </c>
      <c r="N24" s="50" t="s">
        <v>742</v>
      </c>
      <c r="O24" s="44" t="s">
        <v>743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15</v>
      </c>
      <c r="F25" s="44">
        <v>12</v>
      </c>
      <c r="G25" s="45">
        <v>46184</v>
      </c>
      <c r="H25" s="46">
        <v>3676</v>
      </c>
      <c r="I25" s="46">
        <v>3309</v>
      </c>
      <c r="J25" s="44" t="s">
        <v>96</v>
      </c>
      <c r="K25" s="47">
        <v>0.49</v>
      </c>
      <c r="L25" s="48">
        <v>0.01</v>
      </c>
      <c r="M25" s="49" t="s">
        <v>744</v>
      </c>
      <c r="N25" s="50" t="s">
        <v>745</v>
      </c>
      <c r="O25" s="44" t="s">
        <v>746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16</v>
      </c>
      <c r="F26" s="44">
        <v>11</v>
      </c>
      <c r="G26" s="45">
        <v>46183</v>
      </c>
      <c r="H26" s="46">
        <v>3495</v>
      </c>
      <c r="I26" s="46">
        <v>3146</v>
      </c>
      <c r="J26" s="44" t="s">
        <v>102</v>
      </c>
      <c r="K26" s="47">
        <v>0.76</v>
      </c>
      <c r="L26" s="88"/>
      <c r="M26" s="49" t="s">
        <v>747</v>
      </c>
      <c r="N26" s="50" t="s">
        <v>748</v>
      </c>
      <c r="O26" s="44" t="s">
        <v>749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16</v>
      </c>
      <c r="F27" s="44">
        <v>10</v>
      </c>
      <c r="G27" s="45">
        <v>46183</v>
      </c>
      <c r="H27" s="46">
        <v>3542</v>
      </c>
      <c r="I27" s="46">
        <v>3188</v>
      </c>
      <c r="J27" s="44" t="s">
        <v>102</v>
      </c>
      <c r="K27" s="47">
        <v>0.76</v>
      </c>
      <c r="L27" s="48"/>
      <c r="M27" s="49" t="s">
        <v>750</v>
      </c>
      <c r="N27" s="50" t="s">
        <v>751</v>
      </c>
      <c r="O27" s="44" t="s">
        <v>182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17</v>
      </c>
      <c r="F28" s="44">
        <v>9</v>
      </c>
      <c r="G28" s="45">
        <v>46182</v>
      </c>
      <c r="H28" s="46">
        <v>6007</v>
      </c>
      <c r="I28" s="46">
        <v>5406</v>
      </c>
      <c r="J28" s="44" t="s">
        <v>107</v>
      </c>
      <c r="K28" s="47">
        <v>0.7</v>
      </c>
      <c r="L28" s="48"/>
      <c r="M28" s="49" t="s">
        <v>752</v>
      </c>
      <c r="N28" s="50" t="s">
        <v>753</v>
      </c>
      <c r="O28" s="44" t="s">
        <v>754</v>
      </c>
      <c r="P28" s="46">
        <v>3151</v>
      </c>
      <c r="Q28" s="52">
        <f t="shared" ref="Q28:Q29" si="1">P28/H28</f>
        <v>0.52455468619943402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44">
        <v>18</v>
      </c>
      <c r="F29" s="44">
        <v>8</v>
      </c>
      <c r="G29" s="45">
        <v>46181</v>
      </c>
      <c r="H29" s="46">
        <v>5480</v>
      </c>
      <c r="I29" s="46">
        <v>4932</v>
      </c>
      <c r="J29" s="44" t="s">
        <v>282</v>
      </c>
      <c r="K29" s="47">
        <v>0.68</v>
      </c>
      <c r="L29" s="48"/>
      <c r="M29" s="49"/>
      <c r="N29" s="50" t="s">
        <v>461</v>
      </c>
      <c r="O29" s="44" t="s">
        <v>755</v>
      </c>
      <c r="P29" s="46">
        <v>2220</v>
      </c>
      <c r="Q29" s="52">
        <f t="shared" si="1"/>
        <v>0.4051094890510949</v>
      </c>
      <c r="R29" s="46" t="s">
        <v>106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55" t="s">
        <v>110</v>
      </c>
      <c r="I32" s="56" t="s">
        <v>76</v>
      </c>
      <c r="J32" s="105" t="s">
        <v>111</v>
      </c>
      <c r="K32" s="106"/>
      <c r="L32" s="107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8" t="s">
        <v>112</v>
      </c>
      <c r="F33" s="89"/>
      <c r="G33" s="17" t="s">
        <v>756</v>
      </c>
      <c r="H33" s="4"/>
      <c r="I33" s="3"/>
      <c r="J33" s="59" t="s">
        <v>114</v>
      </c>
      <c r="K33" s="59" t="s">
        <v>115</v>
      </c>
      <c r="L33" s="59" t="s">
        <v>116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3"/>
      <c r="F34" s="42"/>
      <c r="G34" s="17"/>
      <c r="H34" s="3"/>
      <c r="I34" s="3"/>
      <c r="J34" s="3" t="s">
        <v>117</v>
      </c>
      <c r="K34" s="53"/>
      <c r="L34" s="53">
        <v>0.08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 t="s">
        <v>118</v>
      </c>
      <c r="F35" s="17"/>
      <c r="G35" s="89"/>
      <c r="H35" s="3"/>
      <c r="I35" s="3"/>
      <c r="J35" s="3"/>
      <c r="K35" s="4"/>
      <c r="L35" s="53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17" t="s">
        <v>119</v>
      </c>
      <c r="F36" s="17">
        <v>0</v>
      </c>
      <c r="G36" s="17"/>
      <c r="H36" s="3"/>
      <c r="I36" s="3"/>
      <c r="J36" s="3" t="s">
        <v>120</v>
      </c>
      <c r="K36" s="53"/>
      <c r="L36" s="3" t="s">
        <v>757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17" t="s">
        <v>122</v>
      </c>
      <c r="F37" s="17">
        <v>0</v>
      </c>
      <c r="G37" s="17"/>
      <c r="H37" s="5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"/>
      <c r="F38" s="17"/>
      <c r="G38" s="17"/>
      <c r="H38" s="5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123</v>
      </c>
      <c r="F39" s="17"/>
      <c r="G39" s="17"/>
      <c r="H39" s="53"/>
      <c r="I39" s="3"/>
      <c r="J39" s="3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1" t="s">
        <v>124</v>
      </c>
      <c r="F40" s="17">
        <v>0</v>
      </c>
      <c r="G40" s="17"/>
      <c r="H40" s="3"/>
      <c r="I40" s="3"/>
      <c r="J40" s="62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1" t="s">
        <v>125</v>
      </c>
      <c r="F41" s="17">
        <v>0</v>
      </c>
      <c r="G41" s="17"/>
      <c r="H41" s="3"/>
      <c r="I41" s="3"/>
      <c r="J41" s="63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3"/>
      <c r="F42" s="3"/>
      <c r="G42" s="3"/>
      <c r="H42" s="3"/>
      <c r="I42" s="3"/>
      <c r="J42" s="64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55" t="s">
        <v>126</v>
      </c>
      <c r="F43" s="55"/>
      <c r="G43" s="3"/>
      <c r="H43" s="3"/>
      <c r="J43" s="4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5" t="s">
        <v>20</v>
      </c>
      <c r="F44" s="65" t="s">
        <v>127</v>
      </c>
      <c r="G44" s="65" t="s">
        <v>128</v>
      </c>
      <c r="H44" s="65" t="s">
        <v>129</v>
      </c>
      <c r="I44" s="65" t="s">
        <v>87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287</v>
      </c>
      <c r="F45" s="67">
        <v>1280</v>
      </c>
      <c r="G45" s="68" t="s">
        <v>758</v>
      </c>
      <c r="H45" s="69" t="s">
        <v>131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288</v>
      </c>
      <c r="F46" s="67">
        <v>235</v>
      </c>
      <c r="G46" s="68">
        <v>0</v>
      </c>
      <c r="H46" s="69" t="s">
        <v>131</v>
      </c>
      <c r="I46" s="68" t="s">
        <v>339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464</v>
      </c>
      <c r="F47" s="67">
        <v>194</v>
      </c>
      <c r="G47" s="68">
        <v>0</v>
      </c>
      <c r="H47" s="69" t="s">
        <v>131</v>
      </c>
      <c r="I47" s="68" t="s">
        <v>339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 t="s">
        <v>291</v>
      </c>
      <c r="F48" s="71">
        <v>320</v>
      </c>
      <c r="G48" s="72"/>
      <c r="H48" s="69" t="s">
        <v>131</v>
      </c>
      <c r="I48" s="68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 t="s">
        <v>292</v>
      </c>
      <c r="F49" s="71">
        <v>162</v>
      </c>
      <c r="G49" s="72"/>
      <c r="H49" s="69" t="s">
        <v>131</v>
      </c>
      <c r="I49" s="68" t="s">
        <v>427</v>
      </c>
      <c r="J49" s="4"/>
      <c r="K49" s="4"/>
      <c r="L49" s="4"/>
      <c r="M49" s="73"/>
      <c r="N49" s="18"/>
      <c r="O49" s="18"/>
      <c r="P49" s="17"/>
      <c r="Q49" s="74"/>
      <c r="R49" s="53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 t="s">
        <v>466</v>
      </c>
      <c r="F50" s="71">
        <v>175</v>
      </c>
      <c r="G50" s="72"/>
      <c r="H50" s="69" t="s">
        <v>131</v>
      </c>
      <c r="I50" s="68" t="s">
        <v>40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66"/>
      <c r="F52" s="4" t="s">
        <v>140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0"/>
      <c r="F53" s="4" t="s">
        <v>141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5"/>
      <c r="F54" s="4" t="s">
        <v>142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E55" s="76"/>
      <c r="F55" s="4" t="s">
        <v>143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2:L32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46189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157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759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4</v>
      </c>
      <c r="G6" s="73">
        <v>46189</v>
      </c>
      <c r="H6" s="18">
        <v>8662</v>
      </c>
      <c r="I6" s="17" t="s">
        <v>28</v>
      </c>
      <c r="J6" s="4" t="s">
        <v>29</v>
      </c>
      <c r="K6" s="4" t="s">
        <v>760</v>
      </c>
      <c r="L6" s="17">
        <v>0</v>
      </c>
      <c r="M6" s="86"/>
      <c r="N6" s="18">
        <v>8662</v>
      </c>
      <c r="O6" s="17" t="s">
        <v>31</v>
      </c>
      <c r="P6" s="19">
        <f t="shared" ref="P6:P16" si="0">N6/H6</f>
        <v>1</v>
      </c>
      <c r="Q6" s="19">
        <v>0.11</v>
      </c>
      <c r="R6" s="4" t="s">
        <v>761</v>
      </c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3</v>
      </c>
      <c r="G7" s="73">
        <v>46188</v>
      </c>
      <c r="H7" s="18">
        <v>8797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8797</v>
      </c>
      <c r="O7" s="17" t="s">
        <v>31</v>
      </c>
      <c r="P7" s="19">
        <f t="shared" si="0"/>
        <v>1</v>
      </c>
      <c r="Q7" s="19">
        <v>0.02</v>
      </c>
      <c r="R7" s="4" t="s">
        <v>762</v>
      </c>
      <c r="S7" s="17" t="s">
        <v>204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137</v>
      </c>
      <c r="B8" s="16">
        <v>190000</v>
      </c>
      <c r="C8" s="24">
        <v>0.66</v>
      </c>
      <c r="D8" s="3"/>
      <c r="E8" s="60">
        <v>3</v>
      </c>
      <c r="F8" s="17">
        <v>2</v>
      </c>
      <c r="G8" s="73">
        <v>46187</v>
      </c>
      <c r="H8" s="18">
        <v>9393</v>
      </c>
      <c r="I8" s="17" t="s">
        <v>42</v>
      </c>
      <c r="J8" s="4" t="s">
        <v>763</v>
      </c>
      <c r="K8" s="4" t="s">
        <v>43</v>
      </c>
      <c r="L8" s="17"/>
      <c r="M8" s="17" t="s">
        <v>151</v>
      </c>
      <c r="N8" s="18">
        <v>8453</v>
      </c>
      <c r="O8" s="17" t="s">
        <v>31</v>
      </c>
      <c r="P8" s="19">
        <f t="shared" si="0"/>
        <v>0.89992547641860965</v>
      </c>
      <c r="Q8" s="19">
        <v>0.04</v>
      </c>
      <c r="R8" s="4" t="s">
        <v>148</v>
      </c>
      <c r="S8" s="17" t="s">
        <v>51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1</v>
      </c>
      <c r="G9" s="73">
        <v>46186</v>
      </c>
      <c r="H9" s="18">
        <v>9453</v>
      </c>
      <c r="I9" s="17" t="s">
        <v>154</v>
      </c>
      <c r="J9" s="4" t="s">
        <v>254</v>
      </c>
      <c r="K9" s="4" t="s">
        <v>764</v>
      </c>
      <c r="L9" s="17"/>
      <c r="M9" s="17" t="s">
        <v>151</v>
      </c>
      <c r="N9" s="18">
        <v>7652</v>
      </c>
      <c r="O9" s="17" t="s">
        <v>31</v>
      </c>
      <c r="P9" s="19">
        <f t="shared" si="0"/>
        <v>0.80947847244261084</v>
      </c>
      <c r="Q9" s="19">
        <v>0.03</v>
      </c>
      <c r="R9" s="4" t="s">
        <v>40</v>
      </c>
      <c r="S9" s="17" t="s">
        <v>765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20</v>
      </c>
      <c r="G10" s="73">
        <v>46185</v>
      </c>
      <c r="H10" s="18">
        <v>9281</v>
      </c>
      <c r="I10" s="17" t="s">
        <v>212</v>
      </c>
      <c r="J10" s="4" t="s">
        <v>766</v>
      </c>
      <c r="K10" s="4" t="s">
        <v>767</v>
      </c>
      <c r="L10" s="17"/>
      <c r="M10" s="17"/>
      <c r="N10" s="18">
        <v>4500</v>
      </c>
      <c r="O10" s="17" t="s">
        <v>31</v>
      </c>
      <c r="P10" s="19">
        <f t="shared" si="0"/>
        <v>0.4848615450921237</v>
      </c>
      <c r="Q10" s="19">
        <v>7.0000000000000007E-2</v>
      </c>
      <c r="R10" s="4" t="s">
        <v>768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0.83</v>
      </c>
      <c r="B11" s="16">
        <v>104000</v>
      </c>
      <c r="C11" s="8"/>
      <c r="D11" s="3"/>
      <c r="E11" s="60">
        <v>6</v>
      </c>
      <c r="F11" s="17">
        <v>19</v>
      </c>
      <c r="G11" s="73">
        <v>46184</v>
      </c>
      <c r="H11" s="18">
        <v>9555</v>
      </c>
      <c r="I11" s="17" t="s">
        <v>47</v>
      </c>
      <c r="J11" s="4" t="s">
        <v>769</v>
      </c>
      <c r="K11" s="4" t="s">
        <v>770</v>
      </c>
      <c r="L11" s="17"/>
      <c r="M11" s="17"/>
      <c r="N11" s="18">
        <v>6700</v>
      </c>
      <c r="O11" s="17" t="s">
        <v>31</v>
      </c>
      <c r="P11" s="19">
        <f t="shared" si="0"/>
        <v>0.70120355834641546</v>
      </c>
      <c r="Q11" s="19"/>
      <c r="R11" s="4" t="s">
        <v>771</v>
      </c>
      <c r="S11" s="17" t="s">
        <v>772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18</v>
      </c>
      <c r="G12" s="73">
        <v>46183</v>
      </c>
      <c r="H12" s="18">
        <v>9352</v>
      </c>
      <c r="I12" s="17" t="s">
        <v>54</v>
      </c>
      <c r="J12" s="4" t="s">
        <v>773</v>
      </c>
      <c r="K12" s="4" t="s">
        <v>774</v>
      </c>
      <c r="L12" s="17"/>
      <c r="M12" s="85" t="s">
        <v>57</v>
      </c>
      <c r="N12" s="18">
        <v>6500</v>
      </c>
      <c r="O12" s="17" t="s">
        <v>31</v>
      </c>
      <c r="P12" s="19">
        <f t="shared" si="0"/>
        <v>0.69503849443969201</v>
      </c>
      <c r="Q12" s="19">
        <v>0.01</v>
      </c>
      <c r="R12" s="4" t="s">
        <v>775</v>
      </c>
      <c r="S12" s="17" t="s">
        <v>78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14321250</v>
      </c>
      <c r="D13" s="3"/>
      <c r="E13" s="60">
        <v>8</v>
      </c>
      <c r="F13" s="17">
        <v>17</v>
      </c>
      <c r="G13" s="73">
        <v>46182</v>
      </c>
      <c r="H13" s="18">
        <v>9416</v>
      </c>
      <c r="I13" s="17" t="s">
        <v>59</v>
      </c>
      <c r="J13" s="4" t="s">
        <v>776</v>
      </c>
      <c r="K13" s="4" t="s">
        <v>777</v>
      </c>
      <c r="L13" s="17"/>
      <c r="M13" s="85" t="s">
        <v>57</v>
      </c>
      <c r="N13" s="18">
        <v>5500</v>
      </c>
      <c r="O13" s="17" t="s">
        <v>31</v>
      </c>
      <c r="P13" s="19">
        <f t="shared" si="0"/>
        <v>0.58411214953271029</v>
      </c>
      <c r="Q13" s="19"/>
      <c r="R13" s="4" t="s">
        <v>778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13410000</v>
      </c>
      <c r="D14" s="3"/>
      <c r="E14" s="60">
        <v>9</v>
      </c>
      <c r="F14" s="17">
        <v>16</v>
      </c>
      <c r="G14" s="73">
        <v>46181</v>
      </c>
      <c r="H14" s="18">
        <v>10316</v>
      </c>
      <c r="I14" s="17" t="s">
        <v>64</v>
      </c>
      <c r="J14" s="4" t="s">
        <v>779</v>
      </c>
      <c r="K14" s="4" t="s">
        <v>780</v>
      </c>
      <c r="L14" s="17"/>
      <c r="M14" s="85" t="s">
        <v>57</v>
      </c>
      <c r="N14" s="18">
        <v>7000</v>
      </c>
      <c r="O14" s="17" t="s">
        <v>31</v>
      </c>
      <c r="P14" s="19">
        <f t="shared" si="0"/>
        <v>0.67855758045754166</v>
      </c>
      <c r="Q14" s="19"/>
      <c r="R14" s="4" t="s">
        <v>781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15</v>
      </c>
      <c r="G15" s="73">
        <v>46180</v>
      </c>
      <c r="H15" s="18">
        <v>7668</v>
      </c>
      <c r="I15" s="17" t="s">
        <v>69</v>
      </c>
      <c r="J15" s="4" t="s">
        <v>165</v>
      </c>
      <c r="K15" s="4" t="s">
        <v>221</v>
      </c>
      <c r="L15" s="17"/>
      <c r="M15" s="85" t="s">
        <v>57</v>
      </c>
      <c r="N15" s="18">
        <v>5000</v>
      </c>
      <c r="O15" s="17" t="s">
        <v>31</v>
      </c>
      <c r="P15" s="19">
        <f t="shared" si="0"/>
        <v>0.65206051121544084</v>
      </c>
      <c r="Q15" s="19"/>
      <c r="R15" s="4" t="s">
        <v>782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500000</v>
      </c>
      <c r="D16" s="3"/>
      <c r="E16" s="60">
        <v>11</v>
      </c>
      <c r="F16" s="17">
        <v>14</v>
      </c>
      <c r="G16" s="73">
        <v>46179</v>
      </c>
      <c r="H16" s="18">
        <v>8137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5556</v>
      </c>
      <c r="O16" s="17" t="s">
        <v>31</v>
      </c>
      <c r="P16" s="19">
        <f t="shared" si="0"/>
        <v>0.68280693130146242</v>
      </c>
      <c r="Q16" s="19"/>
      <c r="R16" s="4"/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1</v>
      </c>
      <c r="G21" s="45">
        <v>46189</v>
      </c>
      <c r="H21" s="46">
        <v>5556</v>
      </c>
      <c r="I21" s="46">
        <v>5000</v>
      </c>
      <c r="J21" s="44" t="s">
        <v>169</v>
      </c>
      <c r="K21" s="47">
        <v>0.68</v>
      </c>
      <c r="L21" s="48">
        <v>0.01</v>
      </c>
      <c r="M21" s="49" t="s">
        <v>783</v>
      </c>
      <c r="N21" s="50" t="s">
        <v>784</v>
      </c>
      <c r="O21" s="44" t="s">
        <v>785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17</v>
      </c>
      <c r="G22" s="45">
        <v>46188</v>
      </c>
      <c r="H22" s="46">
        <v>4319</v>
      </c>
      <c r="I22" s="46">
        <v>3887</v>
      </c>
      <c r="J22" s="44" t="s">
        <v>226</v>
      </c>
      <c r="K22" s="47">
        <v>0.53</v>
      </c>
      <c r="L22" s="48">
        <v>0.02</v>
      </c>
      <c r="M22" s="49" t="s">
        <v>786</v>
      </c>
      <c r="N22" s="50" t="s">
        <v>363</v>
      </c>
      <c r="O22" s="44" t="s">
        <v>787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16</v>
      </c>
      <c r="G23" s="45">
        <v>46187</v>
      </c>
      <c r="H23" s="46">
        <v>5499</v>
      </c>
      <c r="I23" s="46">
        <v>4949</v>
      </c>
      <c r="J23" s="44" t="s">
        <v>88</v>
      </c>
      <c r="K23" s="47">
        <v>0.81</v>
      </c>
      <c r="L23" s="88"/>
      <c r="M23" s="49" t="s">
        <v>788</v>
      </c>
      <c r="N23" s="50" t="s">
        <v>274</v>
      </c>
      <c r="O23" s="44" t="s">
        <v>789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15</v>
      </c>
      <c r="G24" s="45">
        <v>46186</v>
      </c>
      <c r="H24" s="46">
        <v>6342</v>
      </c>
      <c r="I24" s="46">
        <v>5707</v>
      </c>
      <c r="J24" s="44" t="s">
        <v>92</v>
      </c>
      <c r="K24" s="47">
        <v>0.77</v>
      </c>
      <c r="L24" s="88"/>
      <c r="M24" s="49" t="s">
        <v>790</v>
      </c>
      <c r="N24" s="50" t="s">
        <v>791</v>
      </c>
      <c r="O24" s="44" t="s">
        <v>792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15</v>
      </c>
      <c r="F25" s="44">
        <v>14</v>
      </c>
      <c r="G25" s="45">
        <v>46185</v>
      </c>
      <c r="H25" s="46">
        <v>6155</v>
      </c>
      <c r="I25" s="46">
        <v>5540</v>
      </c>
      <c r="J25" s="44" t="s">
        <v>96</v>
      </c>
      <c r="K25" s="47">
        <v>0.74</v>
      </c>
      <c r="L25" s="88"/>
      <c r="M25" s="49" t="s">
        <v>793</v>
      </c>
      <c r="N25" s="50" t="s">
        <v>417</v>
      </c>
      <c r="O25" s="44" t="s">
        <v>794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16</v>
      </c>
      <c r="F26" s="44">
        <v>12</v>
      </c>
      <c r="G26" s="45">
        <v>46184</v>
      </c>
      <c r="H26" s="46">
        <v>3676</v>
      </c>
      <c r="I26" s="46">
        <v>3309</v>
      </c>
      <c r="J26" s="44" t="s">
        <v>102</v>
      </c>
      <c r="K26" s="47">
        <v>0.49</v>
      </c>
      <c r="L26" s="48"/>
      <c r="M26" s="49" t="s">
        <v>795</v>
      </c>
      <c r="N26" s="50" t="s">
        <v>748</v>
      </c>
      <c r="O26" s="44" t="s">
        <v>796</v>
      </c>
      <c r="P26" s="46">
        <v>2048</v>
      </c>
      <c r="Q26" s="52">
        <f t="shared" ref="Q26:Q27" si="1">P26/H26</f>
        <v>0.5571273122959739</v>
      </c>
      <c r="R26" s="46" t="s">
        <v>106</v>
      </c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17</v>
      </c>
      <c r="F27" s="44">
        <v>11</v>
      </c>
      <c r="G27" s="45">
        <v>46183</v>
      </c>
      <c r="H27" s="46">
        <v>3495</v>
      </c>
      <c r="I27" s="46">
        <v>3146</v>
      </c>
      <c r="J27" s="44" t="s">
        <v>107</v>
      </c>
      <c r="K27" s="47">
        <v>0.76</v>
      </c>
      <c r="L27" s="88"/>
      <c r="M27" s="49" t="s">
        <v>797</v>
      </c>
      <c r="N27" s="50" t="s">
        <v>98</v>
      </c>
      <c r="O27" s="44" t="s">
        <v>798</v>
      </c>
      <c r="P27" s="46">
        <v>2275</v>
      </c>
      <c r="Q27" s="52">
        <f t="shared" si="1"/>
        <v>0.6509298998569385</v>
      </c>
      <c r="R27" s="46" t="s">
        <v>106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17</v>
      </c>
      <c r="F28" s="44">
        <v>10</v>
      </c>
      <c r="G28" s="45">
        <v>46183</v>
      </c>
      <c r="H28" s="46">
        <v>3542</v>
      </c>
      <c r="I28" s="46">
        <v>3188</v>
      </c>
      <c r="J28" s="44" t="s">
        <v>107</v>
      </c>
      <c r="K28" s="47">
        <v>0.76</v>
      </c>
      <c r="L28" s="48"/>
      <c r="M28" s="49" t="s">
        <v>799</v>
      </c>
      <c r="N28" s="50" t="s">
        <v>422</v>
      </c>
      <c r="O28" s="44" t="s">
        <v>800</v>
      </c>
      <c r="P28" s="46"/>
      <c r="Q28" s="51"/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44">
        <v>18</v>
      </c>
      <c r="F29" s="44">
        <v>9</v>
      </c>
      <c r="G29" s="45">
        <v>46182</v>
      </c>
      <c r="H29" s="46">
        <v>6007</v>
      </c>
      <c r="I29" s="46">
        <v>5406</v>
      </c>
      <c r="J29" s="44" t="s">
        <v>282</v>
      </c>
      <c r="K29" s="47">
        <v>0.7</v>
      </c>
      <c r="L29" s="48">
        <v>0.01</v>
      </c>
      <c r="M29" s="49" t="s">
        <v>801</v>
      </c>
      <c r="N29" s="50" t="s">
        <v>601</v>
      </c>
      <c r="O29" s="44" t="s">
        <v>802</v>
      </c>
      <c r="P29" s="46">
        <v>4651</v>
      </c>
      <c r="Q29" s="52">
        <f t="shared" ref="Q29:Q30" si="2">P29/H29</f>
        <v>0.77426335941401703</v>
      </c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44">
        <v>19</v>
      </c>
      <c r="F30" s="44">
        <v>8</v>
      </c>
      <c r="G30" s="45">
        <v>46181</v>
      </c>
      <c r="H30" s="46">
        <v>5480</v>
      </c>
      <c r="I30" s="46">
        <v>4932</v>
      </c>
      <c r="J30" s="44" t="s">
        <v>331</v>
      </c>
      <c r="K30" s="47">
        <v>0.68</v>
      </c>
      <c r="L30" s="48"/>
      <c r="M30" s="49"/>
      <c r="N30" s="50" t="s">
        <v>381</v>
      </c>
      <c r="O30" s="44" t="s">
        <v>381</v>
      </c>
      <c r="P30" s="46">
        <v>4773</v>
      </c>
      <c r="Q30" s="52">
        <f t="shared" si="2"/>
        <v>0.87098540145985404</v>
      </c>
      <c r="R30" s="46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5" t="s">
        <v>110</v>
      </c>
      <c r="I33" s="56" t="s">
        <v>76</v>
      </c>
      <c r="J33" s="105" t="s">
        <v>111</v>
      </c>
      <c r="K33" s="106"/>
      <c r="L33" s="107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8" t="s">
        <v>112</v>
      </c>
      <c r="F34" s="89"/>
      <c r="G34" s="17" t="s">
        <v>151</v>
      </c>
      <c r="H34" s="4"/>
      <c r="I34" s="3"/>
      <c r="J34" s="59" t="s">
        <v>114</v>
      </c>
      <c r="K34" s="59" t="s">
        <v>115</v>
      </c>
      <c r="L34" s="59" t="s">
        <v>116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/>
      <c r="F35" s="42"/>
      <c r="G35" s="17"/>
      <c r="H35" s="3"/>
      <c r="I35" s="3"/>
      <c r="J35" s="3" t="s">
        <v>117</v>
      </c>
      <c r="K35" s="53"/>
      <c r="L35" s="53">
        <v>7.0000000000000007E-2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3" t="s">
        <v>118</v>
      </c>
      <c r="F36" s="17"/>
      <c r="G36" s="89"/>
      <c r="H36" s="3"/>
      <c r="I36" s="3"/>
      <c r="J36" s="3"/>
      <c r="K36" s="4"/>
      <c r="L36" s="53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17" t="s">
        <v>119</v>
      </c>
      <c r="F37" s="17">
        <v>0</v>
      </c>
      <c r="G37" s="17"/>
      <c r="H37" s="3"/>
      <c r="I37" s="3"/>
      <c r="J37" s="3" t="s">
        <v>120</v>
      </c>
      <c r="K37" s="53"/>
      <c r="L37" s="53">
        <v>0.05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17" t="s">
        <v>122</v>
      </c>
      <c r="F38" s="17">
        <v>0</v>
      </c>
      <c r="G38" s="17"/>
      <c r="H38" s="5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"/>
      <c r="F39" s="17"/>
      <c r="G39" s="17"/>
      <c r="H39" s="5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55" t="s">
        <v>123</v>
      </c>
      <c r="F40" s="17"/>
      <c r="G40" s="17"/>
      <c r="H40" s="53"/>
      <c r="I40" s="3"/>
      <c r="J40" s="3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1" t="s">
        <v>124</v>
      </c>
      <c r="F41" s="17">
        <v>0</v>
      </c>
      <c r="G41" s="17"/>
      <c r="H41" s="3"/>
      <c r="I41" s="3"/>
      <c r="J41" s="62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61" t="s">
        <v>125</v>
      </c>
      <c r="F42" s="17">
        <v>0</v>
      </c>
      <c r="G42" s="17"/>
      <c r="H42" s="3"/>
      <c r="I42" s="3"/>
      <c r="J42" s="63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3"/>
      <c r="F43" s="3"/>
      <c r="G43" s="3"/>
      <c r="H43" s="3"/>
      <c r="I43" s="3"/>
      <c r="J43" s="64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55" t="s">
        <v>126</v>
      </c>
      <c r="F44" s="55"/>
      <c r="G44" s="3"/>
      <c r="H44" s="3"/>
      <c r="J44" s="4"/>
      <c r="K44" s="17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5" t="s">
        <v>20</v>
      </c>
      <c r="F45" s="65" t="s">
        <v>127</v>
      </c>
      <c r="G45" s="65" t="s">
        <v>128</v>
      </c>
      <c r="H45" s="65" t="s">
        <v>129</v>
      </c>
      <c r="I45" s="65" t="s">
        <v>87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66" t="s">
        <v>337</v>
      </c>
      <c r="F46" s="67">
        <v>1280</v>
      </c>
      <c r="G46" s="68" t="s">
        <v>187</v>
      </c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338</v>
      </c>
      <c r="F47" s="67">
        <v>245</v>
      </c>
      <c r="G47" s="68">
        <v>0</v>
      </c>
      <c r="H47" s="69" t="s">
        <v>131</v>
      </c>
      <c r="I47" s="68" t="s">
        <v>198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 t="s">
        <v>134</v>
      </c>
      <c r="F48" s="67">
        <v>270</v>
      </c>
      <c r="G48" s="68">
        <v>0</v>
      </c>
      <c r="H48" s="69" t="s">
        <v>131</v>
      </c>
      <c r="I48" s="68" t="s">
        <v>198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66" t="s">
        <v>341</v>
      </c>
      <c r="F49" s="71">
        <v>320</v>
      </c>
      <c r="G49" s="72"/>
      <c r="H49" s="69" t="s">
        <v>131</v>
      </c>
      <c r="I49" s="68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 t="s">
        <v>803</v>
      </c>
      <c r="F50" s="71">
        <v>143</v>
      </c>
      <c r="G50" s="72"/>
      <c r="H50" s="69" t="s">
        <v>131</v>
      </c>
      <c r="I50" s="68" t="s">
        <v>804</v>
      </c>
      <c r="J50" s="4"/>
      <c r="K50" s="4"/>
      <c r="L50" s="4"/>
      <c r="M50" s="73"/>
      <c r="N50" s="18"/>
      <c r="O50" s="18"/>
      <c r="P50" s="17"/>
      <c r="Q50" s="74"/>
      <c r="R50" s="53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0" t="s">
        <v>139</v>
      </c>
      <c r="F51" s="71">
        <v>165</v>
      </c>
      <c r="G51" s="72"/>
      <c r="H51" s="69" t="s">
        <v>131</v>
      </c>
      <c r="I51" s="68" t="s">
        <v>427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66"/>
      <c r="F53" s="4" t="s">
        <v>140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0"/>
      <c r="F54" s="4" t="s">
        <v>141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E55" s="75"/>
      <c r="F55" s="4" t="s">
        <v>142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6"/>
      <c r="F56" s="4" t="s">
        <v>143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E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J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K170" s="4"/>
      <c r="L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N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3:L33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164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759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5</v>
      </c>
      <c r="G6" s="73">
        <v>46190</v>
      </c>
      <c r="H6" s="18">
        <v>9678</v>
      </c>
      <c r="I6" s="17" t="s">
        <v>28</v>
      </c>
      <c r="J6" s="4" t="s">
        <v>29</v>
      </c>
      <c r="K6" s="4" t="s">
        <v>30</v>
      </c>
      <c r="L6" s="17">
        <v>0</v>
      </c>
      <c r="M6" s="86"/>
      <c r="N6" s="18">
        <v>9678</v>
      </c>
      <c r="O6" s="17" t="s">
        <v>31</v>
      </c>
      <c r="P6" s="19">
        <f t="shared" ref="P6:P16" si="0">N6/H6</f>
        <v>1</v>
      </c>
      <c r="Q6" s="19">
        <v>0.02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4</v>
      </c>
      <c r="G7" s="73">
        <v>46189</v>
      </c>
      <c r="H7" s="18">
        <v>8662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8662</v>
      </c>
      <c r="O7" s="17" t="s">
        <v>31</v>
      </c>
      <c r="P7" s="19">
        <f t="shared" si="0"/>
        <v>1</v>
      </c>
      <c r="Q7" s="19">
        <v>0.03</v>
      </c>
      <c r="R7" s="4" t="s">
        <v>805</v>
      </c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144</v>
      </c>
      <c r="B8" s="16">
        <v>171000</v>
      </c>
      <c r="C8" s="24">
        <v>0.64</v>
      </c>
      <c r="D8" s="3"/>
      <c r="E8" s="60">
        <v>3</v>
      </c>
      <c r="F8" s="17">
        <v>3</v>
      </c>
      <c r="G8" s="73">
        <v>46188</v>
      </c>
      <c r="H8" s="18">
        <v>8797</v>
      </c>
      <c r="I8" s="17" t="s">
        <v>42</v>
      </c>
      <c r="J8" s="4" t="s">
        <v>43</v>
      </c>
      <c r="K8" s="4" t="s">
        <v>43</v>
      </c>
      <c r="L8" s="17"/>
      <c r="M8" s="17" t="s">
        <v>151</v>
      </c>
      <c r="N8" s="18">
        <v>7477</v>
      </c>
      <c r="O8" s="17" t="s">
        <v>31</v>
      </c>
      <c r="P8" s="19">
        <f t="shared" si="0"/>
        <v>0.84994884619756739</v>
      </c>
      <c r="Q8" s="19">
        <v>0.03</v>
      </c>
      <c r="R8" s="4" t="s">
        <v>806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2</v>
      </c>
      <c r="G9" s="73">
        <v>46187</v>
      </c>
      <c r="H9" s="18">
        <v>9393</v>
      </c>
      <c r="I9" s="17" t="s">
        <v>154</v>
      </c>
      <c r="J9" s="4" t="s">
        <v>764</v>
      </c>
      <c r="K9" s="4" t="s">
        <v>350</v>
      </c>
      <c r="L9" s="17"/>
      <c r="M9" s="17" t="s">
        <v>151</v>
      </c>
      <c r="N9" s="18">
        <v>7776</v>
      </c>
      <c r="O9" s="17" t="s">
        <v>31</v>
      </c>
      <c r="P9" s="19">
        <f t="shared" si="0"/>
        <v>0.82785052698818273</v>
      </c>
      <c r="Q9" s="19">
        <v>0.02</v>
      </c>
      <c r="R9" s="4" t="s">
        <v>515</v>
      </c>
      <c r="S9" s="17" t="s">
        <v>51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1</v>
      </c>
      <c r="G10" s="73">
        <v>46186</v>
      </c>
      <c r="H10" s="18">
        <v>9453</v>
      </c>
      <c r="I10" s="17" t="s">
        <v>212</v>
      </c>
      <c r="J10" s="4" t="s">
        <v>807</v>
      </c>
      <c r="K10" s="4" t="s">
        <v>400</v>
      </c>
      <c r="L10" s="17"/>
      <c r="M10" s="17"/>
      <c r="N10" s="18">
        <v>7116</v>
      </c>
      <c r="O10" s="17" t="s">
        <v>31</v>
      </c>
      <c r="P10" s="19">
        <f t="shared" si="0"/>
        <v>0.75277689622342114</v>
      </c>
      <c r="Q10" s="19">
        <v>0.01</v>
      </c>
      <c r="R10" s="4" t="s">
        <v>40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0.97</v>
      </c>
      <c r="B11" s="16">
        <v>107000</v>
      </c>
      <c r="C11" s="8"/>
      <c r="D11" s="3"/>
      <c r="E11" s="60">
        <v>6</v>
      </c>
      <c r="F11" s="17">
        <v>20</v>
      </c>
      <c r="G11" s="73">
        <v>46185</v>
      </c>
      <c r="H11" s="18">
        <v>9281</v>
      </c>
      <c r="I11" s="17" t="s">
        <v>47</v>
      </c>
      <c r="J11" s="4" t="s">
        <v>808</v>
      </c>
      <c r="K11" s="4" t="s">
        <v>809</v>
      </c>
      <c r="L11" s="17"/>
      <c r="M11" s="17"/>
      <c r="N11" s="18">
        <v>4420</v>
      </c>
      <c r="O11" s="17" t="s">
        <v>31</v>
      </c>
      <c r="P11" s="19">
        <f t="shared" si="0"/>
        <v>0.47624178429048591</v>
      </c>
      <c r="Q11" s="19">
        <v>0.09</v>
      </c>
      <c r="R11" s="4" t="s">
        <v>810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19</v>
      </c>
      <c r="G12" s="73">
        <v>46184</v>
      </c>
      <c r="H12" s="18">
        <v>9555</v>
      </c>
      <c r="I12" s="17" t="s">
        <v>54</v>
      </c>
      <c r="J12" s="4" t="s">
        <v>811</v>
      </c>
      <c r="K12" s="4" t="s">
        <v>812</v>
      </c>
      <c r="L12" s="17"/>
      <c r="M12" s="85" t="s">
        <v>57</v>
      </c>
      <c r="N12" s="18">
        <v>6500</v>
      </c>
      <c r="O12" s="17" t="s">
        <v>31</v>
      </c>
      <c r="P12" s="19">
        <f t="shared" si="0"/>
        <v>0.68027210884353739</v>
      </c>
      <c r="Q12" s="19">
        <v>0.02</v>
      </c>
      <c r="R12" s="4" t="s">
        <v>813</v>
      </c>
      <c r="S12" s="17" t="s">
        <v>444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15360000</v>
      </c>
      <c r="D13" s="3"/>
      <c r="E13" s="60">
        <v>8</v>
      </c>
      <c r="F13" s="17">
        <v>18</v>
      </c>
      <c r="G13" s="73">
        <v>46183</v>
      </c>
      <c r="H13" s="18">
        <v>9352</v>
      </c>
      <c r="I13" s="17" t="s">
        <v>59</v>
      </c>
      <c r="J13" s="4" t="s">
        <v>814</v>
      </c>
      <c r="K13" s="4" t="s">
        <v>815</v>
      </c>
      <c r="L13" s="17"/>
      <c r="M13" s="85" t="s">
        <v>57</v>
      </c>
      <c r="N13" s="18">
        <v>6500</v>
      </c>
      <c r="O13" s="17" t="s">
        <v>31</v>
      </c>
      <c r="P13" s="19">
        <f t="shared" si="0"/>
        <v>0.69503849443969201</v>
      </c>
      <c r="Q13" s="19"/>
      <c r="R13" s="4" t="s">
        <v>816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13360000</v>
      </c>
      <c r="D14" s="3"/>
      <c r="E14" s="60">
        <v>9</v>
      </c>
      <c r="F14" s="17">
        <v>17</v>
      </c>
      <c r="G14" s="73">
        <v>46182</v>
      </c>
      <c r="H14" s="18">
        <v>9416</v>
      </c>
      <c r="I14" s="17" t="s">
        <v>64</v>
      </c>
      <c r="J14" s="4" t="s">
        <v>817</v>
      </c>
      <c r="K14" s="4" t="s">
        <v>164</v>
      </c>
      <c r="L14" s="17"/>
      <c r="M14" s="85" t="s">
        <v>57</v>
      </c>
      <c r="N14" s="18">
        <v>5500</v>
      </c>
      <c r="O14" s="17" t="s">
        <v>31</v>
      </c>
      <c r="P14" s="19">
        <f t="shared" si="0"/>
        <v>0.58411214953271029</v>
      </c>
      <c r="Q14" s="19"/>
      <c r="R14" s="4" t="s">
        <v>818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16</v>
      </c>
      <c r="G15" s="73">
        <v>46181</v>
      </c>
      <c r="H15" s="18">
        <v>10316</v>
      </c>
      <c r="I15" s="17" t="s">
        <v>69</v>
      </c>
      <c r="J15" s="4" t="s">
        <v>221</v>
      </c>
      <c r="K15" s="4" t="s">
        <v>70</v>
      </c>
      <c r="L15" s="17"/>
      <c r="M15" s="85" t="s">
        <v>57</v>
      </c>
      <c r="N15" s="18">
        <v>7000</v>
      </c>
      <c r="O15" s="17" t="s">
        <v>31</v>
      </c>
      <c r="P15" s="19">
        <f t="shared" si="0"/>
        <v>0.67855758045754166</v>
      </c>
      <c r="Q15" s="19">
        <v>0.01</v>
      </c>
      <c r="R15" s="4" t="s">
        <v>819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2000000</v>
      </c>
      <c r="D16" s="3"/>
      <c r="E16" s="60">
        <v>11</v>
      </c>
      <c r="F16" s="17">
        <v>15</v>
      </c>
      <c r="G16" s="73">
        <v>46180</v>
      </c>
      <c r="H16" s="18">
        <v>7668</v>
      </c>
      <c r="I16" s="17" t="s">
        <v>169</v>
      </c>
      <c r="J16" s="4" t="s">
        <v>70</v>
      </c>
      <c r="K16" s="4" t="s">
        <v>71</v>
      </c>
      <c r="L16" s="41"/>
      <c r="M16" s="85" t="s">
        <v>170</v>
      </c>
      <c r="N16" s="18">
        <v>5530</v>
      </c>
      <c r="O16" s="17" t="s">
        <v>31</v>
      </c>
      <c r="P16" s="19">
        <f t="shared" si="0"/>
        <v>0.72117892540427753</v>
      </c>
      <c r="Q16" s="19">
        <v>0.02</v>
      </c>
      <c r="R16" s="4" t="s">
        <v>820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2</v>
      </c>
      <c r="G21" s="45">
        <v>46190</v>
      </c>
      <c r="H21" s="46">
        <v>5530</v>
      </c>
      <c r="I21" s="46">
        <v>4977</v>
      </c>
      <c r="J21" s="44" t="s">
        <v>169</v>
      </c>
      <c r="K21" s="47">
        <v>0.72</v>
      </c>
      <c r="L21" s="48"/>
      <c r="M21" s="49"/>
      <c r="N21" s="50" t="s">
        <v>695</v>
      </c>
      <c r="O21" s="44" t="s">
        <v>821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1</v>
      </c>
      <c r="G22" s="45">
        <v>46189</v>
      </c>
      <c r="H22" s="46">
        <v>5556</v>
      </c>
      <c r="I22" s="46">
        <v>5000</v>
      </c>
      <c r="J22" s="44" t="s">
        <v>226</v>
      </c>
      <c r="K22" s="47">
        <v>0.68</v>
      </c>
      <c r="L22" s="48"/>
      <c r="M22" s="49" t="s">
        <v>822</v>
      </c>
      <c r="N22" s="50" t="s">
        <v>528</v>
      </c>
      <c r="O22" s="44" t="s">
        <v>230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17</v>
      </c>
      <c r="G23" s="45">
        <v>46188</v>
      </c>
      <c r="H23" s="46">
        <v>4319</v>
      </c>
      <c r="I23" s="46">
        <v>3887</v>
      </c>
      <c r="J23" s="44" t="s">
        <v>88</v>
      </c>
      <c r="K23" s="47">
        <v>0.53</v>
      </c>
      <c r="L23" s="48"/>
      <c r="M23" s="49" t="s">
        <v>823</v>
      </c>
      <c r="N23" s="50" t="s">
        <v>594</v>
      </c>
      <c r="O23" s="44" t="s">
        <v>824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16</v>
      </c>
      <c r="G24" s="45">
        <v>46187</v>
      </c>
      <c r="H24" s="46">
        <v>5499</v>
      </c>
      <c r="I24" s="46">
        <v>4949</v>
      </c>
      <c r="J24" s="44" t="s">
        <v>92</v>
      </c>
      <c r="K24" s="47">
        <v>0.81</v>
      </c>
      <c r="L24" s="88"/>
      <c r="M24" s="49" t="s">
        <v>825</v>
      </c>
      <c r="N24" s="50" t="s">
        <v>454</v>
      </c>
      <c r="O24" s="44" t="s">
        <v>826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15</v>
      </c>
      <c r="F25" s="44">
        <v>15</v>
      </c>
      <c r="G25" s="45">
        <v>46186</v>
      </c>
      <c r="H25" s="46">
        <v>6342</v>
      </c>
      <c r="I25" s="46">
        <v>5707</v>
      </c>
      <c r="J25" s="44" t="s">
        <v>96</v>
      </c>
      <c r="K25" s="47">
        <v>0.77</v>
      </c>
      <c r="L25" s="88"/>
      <c r="M25" s="49" t="s">
        <v>827</v>
      </c>
      <c r="N25" s="50" t="s">
        <v>232</v>
      </c>
      <c r="O25" s="44" t="s">
        <v>635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16</v>
      </c>
      <c r="F26" s="44">
        <v>14</v>
      </c>
      <c r="G26" s="45">
        <v>46185</v>
      </c>
      <c r="H26" s="46">
        <v>6155</v>
      </c>
      <c r="I26" s="46">
        <v>5540</v>
      </c>
      <c r="J26" s="44" t="s">
        <v>102</v>
      </c>
      <c r="K26" s="47">
        <v>0.74</v>
      </c>
      <c r="L26" s="88"/>
      <c r="M26" s="49" t="s">
        <v>828</v>
      </c>
      <c r="N26" s="50" t="s">
        <v>497</v>
      </c>
      <c r="O26" s="44" t="s">
        <v>829</v>
      </c>
      <c r="P26" s="46">
        <v>2051</v>
      </c>
      <c r="Q26" s="52">
        <f t="shared" ref="Q26:Q28" si="1">P26/H26</f>
        <v>0.33322502030869211</v>
      </c>
      <c r="R26" s="46" t="s">
        <v>106</v>
      </c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17</v>
      </c>
      <c r="F27" s="44">
        <v>12</v>
      </c>
      <c r="G27" s="45">
        <v>46184</v>
      </c>
      <c r="H27" s="46">
        <v>3676</v>
      </c>
      <c r="I27" s="46">
        <v>3309</v>
      </c>
      <c r="J27" s="44" t="s">
        <v>107</v>
      </c>
      <c r="K27" s="47">
        <v>0.49</v>
      </c>
      <c r="L27" s="48"/>
      <c r="M27" s="49" t="s">
        <v>830</v>
      </c>
      <c r="N27" s="50" t="s">
        <v>98</v>
      </c>
      <c r="O27" s="44" t="s">
        <v>99</v>
      </c>
      <c r="P27" s="46">
        <v>2048</v>
      </c>
      <c r="Q27" s="52">
        <f t="shared" si="1"/>
        <v>0.5571273122959739</v>
      </c>
      <c r="R27" s="46" t="s">
        <v>106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18</v>
      </c>
      <c r="F28" s="44">
        <v>11</v>
      </c>
      <c r="G28" s="45">
        <v>46183</v>
      </c>
      <c r="H28" s="46">
        <v>3495</v>
      </c>
      <c r="I28" s="46">
        <v>3146</v>
      </c>
      <c r="J28" s="44" t="s">
        <v>282</v>
      </c>
      <c r="K28" s="47">
        <v>0.76</v>
      </c>
      <c r="L28" s="88"/>
      <c r="M28" s="49"/>
      <c r="N28" s="50" t="s">
        <v>381</v>
      </c>
      <c r="O28" s="44" t="s">
        <v>381</v>
      </c>
      <c r="P28" s="46">
        <v>2275</v>
      </c>
      <c r="Q28" s="52">
        <f t="shared" si="1"/>
        <v>0.6509298998569385</v>
      </c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44">
        <v>18</v>
      </c>
      <c r="F29" s="44">
        <v>10</v>
      </c>
      <c r="G29" s="45">
        <v>46183</v>
      </c>
      <c r="H29" s="46">
        <v>3542</v>
      </c>
      <c r="I29" s="46">
        <v>3188</v>
      </c>
      <c r="J29" s="44" t="s">
        <v>282</v>
      </c>
      <c r="K29" s="47">
        <v>0.76</v>
      </c>
      <c r="L29" s="48"/>
      <c r="M29" s="49" t="s">
        <v>831</v>
      </c>
      <c r="N29" s="50" t="s">
        <v>832</v>
      </c>
      <c r="O29" s="44" t="s">
        <v>833</v>
      </c>
      <c r="P29" s="46"/>
      <c r="Q29" s="51"/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44">
        <v>19</v>
      </c>
      <c r="F30" s="44">
        <v>9</v>
      </c>
      <c r="G30" s="45">
        <v>46182</v>
      </c>
      <c r="H30" s="46">
        <v>6007</v>
      </c>
      <c r="I30" s="46">
        <v>5406</v>
      </c>
      <c r="J30" s="44" t="s">
        <v>331</v>
      </c>
      <c r="K30" s="47">
        <v>0.7</v>
      </c>
      <c r="L30" s="48"/>
      <c r="M30" s="49"/>
      <c r="N30" s="50" t="s">
        <v>381</v>
      </c>
      <c r="O30" s="44" t="s">
        <v>381</v>
      </c>
      <c r="P30" s="46">
        <v>4651</v>
      </c>
      <c r="Q30" s="52">
        <f>P30/H30</f>
        <v>0.77426335941401703</v>
      </c>
      <c r="R30" s="46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5" t="s">
        <v>110</v>
      </c>
      <c r="I33" s="56" t="s">
        <v>76</v>
      </c>
      <c r="J33" s="105" t="s">
        <v>111</v>
      </c>
      <c r="K33" s="106"/>
      <c r="L33" s="107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58" t="s">
        <v>112</v>
      </c>
      <c r="F34" s="89"/>
      <c r="G34" s="17" t="s">
        <v>834</v>
      </c>
      <c r="H34" s="4"/>
      <c r="I34" s="3"/>
      <c r="J34" s="59" t="s">
        <v>114</v>
      </c>
      <c r="K34" s="59" t="s">
        <v>115</v>
      </c>
      <c r="L34" s="59" t="s">
        <v>116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/>
      <c r="F35" s="42"/>
      <c r="G35" s="17"/>
      <c r="H35" s="3"/>
      <c r="I35" s="3"/>
      <c r="J35" s="3" t="s">
        <v>117</v>
      </c>
      <c r="K35" s="53"/>
      <c r="L35" s="53">
        <v>0.08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3" t="s">
        <v>118</v>
      </c>
      <c r="F36" s="17"/>
      <c r="G36" s="89"/>
      <c r="H36" s="3"/>
      <c r="I36" s="3"/>
      <c r="J36" s="3"/>
      <c r="K36" s="4"/>
      <c r="L36" s="53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17" t="s">
        <v>119</v>
      </c>
      <c r="F37" s="17">
        <v>0</v>
      </c>
      <c r="G37" s="17"/>
      <c r="H37" s="3"/>
      <c r="I37" s="3"/>
      <c r="J37" s="3" t="s">
        <v>120</v>
      </c>
      <c r="K37" s="53"/>
      <c r="L37" s="53">
        <v>0.08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17" t="s">
        <v>122</v>
      </c>
      <c r="F38" s="17">
        <v>0</v>
      </c>
      <c r="G38" s="17"/>
      <c r="H38" s="5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"/>
      <c r="F39" s="17"/>
      <c r="G39" s="17"/>
      <c r="H39" s="5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55" t="s">
        <v>123</v>
      </c>
      <c r="F40" s="17"/>
      <c r="G40" s="17"/>
      <c r="H40" s="53"/>
      <c r="I40" s="3"/>
      <c r="J40" s="3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1" t="s">
        <v>124</v>
      </c>
      <c r="F41" s="17">
        <v>0</v>
      </c>
      <c r="G41" s="17"/>
      <c r="H41" s="3"/>
      <c r="I41" s="3"/>
      <c r="J41" s="62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61" t="s">
        <v>125</v>
      </c>
      <c r="F42" s="17">
        <v>0</v>
      </c>
      <c r="G42" s="17"/>
      <c r="H42" s="3"/>
      <c r="I42" s="3"/>
      <c r="J42" s="63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3"/>
      <c r="F43" s="3"/>
      <c r="G43" s="3"/>
      <c r="H43" s="3"/>
      <c r="I43" s="3"/>
      <c r="J43" s="64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55" t="s">
        <v>126</v>
      </c>
      <c r="F44" s="55"/>
      <c r="G44" s="3"/>
      <c r="H44" s="3"/>
      <c r="J44" s="4"/>
      <c r="K44" s="17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5" t="s">
        <v>20</v>
      </c>
      <c r="F45" s="65" t="s">
        <v>127</v>
      </c>
      <c r="G45" s="65" t="s">
        <v>128</v>
      </c>
      <c r="H45" s="65" t="s">
        <v>129</v>
      </c>
      <c r="I45" s="65" t="s">
        <v>87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66" t="s">
        <v>389</v>
      </c>
      <c r="F46" s="67">
        <v>1120</v>
      </c>
      <c r="G46" s="68">
        <v>0</v>
      </c>
      <c r="H46" s="69" t="s">
        <v>131</v>
      </c>
      <c r="I46" s="6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390</v>
      </c>
      <c r="F47" s="67">
        <v>263</v>
      </c>
      <c r="G47" s="68">
        <v>0</v>
      </c>
      <c r="H47" s="69" t="s">
        <v>131</v>
      </c>
      <c r="I47" s="68" t="s">
        <v>198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70" t="s">
        <v>192</v>
      </c>
      <c r="F48" s="67">
        <v>232</v>
      </c>
      <c r="G48" s="68">
        <v>0</v>
      </c>
      <c r="H48" s="69" t="s">
        <v>131</v>
      </c>
      <c r="I48" s="68" t="s">
        <v>198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66" t="s">
        <v>392</v>
      </c>
      <c r="F49" s="71">
        <v>480</v>
      </c>
      <c r="G49" s="72"/>
      <c r="H49" s="69" t="s">
        <v>131</v>
      </c>
      <c r="I49" s="68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 t="s">
        <v>835</v>
      </c>
      <c r="F50" s="71">
        <v>125</v>
      </c>
      <c r="G50" s="72"/>
      <c r="H50" s="69" t="s">
        <v>131</v>
      </c>
      <c r="I50" s="68"/>
      <c r="J50" s="4"/>
      <c r="K50" s="4"/>
      <c r="L50" s="4"/>
      <c r="M50" s="73"/>
      <c r="N50" s="18"/>
      <c r="O50" s="18"/>
      <c r="P50" s="17"/>
      <c r="Q50" s="74"/>
      <c r="R50" s="53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70" t="s">
        <v>197</v>
      </c>
      <c r="F51" s="71">
        <v>168</v>
      </c>
      <c r="G51" s="72"/>
      <c r="H51" s="69" t="s">
        <v>131</v>
      </c>
      <c r="I51" s="68" t="s">
        <v>40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66"/>
      <c r="F53" s="4" t="s">
        <v>140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0"/>
      <c r="F54" s="4" t="s">
        <v>141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E55" s="75"/>
      <c r="F55" s="4" t="s">
        <v>142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6"/>
      <c r="F56" s="4" t="s">
        <v>143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E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J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K170" s="4"/>
      <c r="L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N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3:L33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759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6</v>
      </c>
      <c r="G6" s="73">
        <v>46191</v>
      </c>
      <c r="H6" s="18">
        <v>8670</v>
      </c>
      <c r="I6" s="17" t="s">
        <v>28</v>
      </c>
      <c r="J6" s="4" t="s">
        <v>29</v>
      </c>
      <c r="K6" s="4" t="s">
        <v>468</v>
      </c>
      <c r="L6" s="17">
        <v>0</v>
      </c>
      <c r="M6" s="86"/>
      <c r="N6" s="18">
        <v>8670</v>
      </c>
      <c r="O6" s="17" t="s">
        <v>31</v>
      </c>
      <c r="P6" s="19">
        <f t="shared" ref="P6:P16" si="0">N6/H6</f>
        <v>1</v>
      </c>
      <c r="Q6" s="19">
        <v>0.06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5</v>
      </c>
      <c r="G7" s="73">
        <v>46190</v>
      </c>
      <c r="H7" s="18">
        <v>9678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9678</v>
      </c>
      <c r="O7" s="17" t="s">
        <v>31</v>
      </c>
      <c r="P7" s="19">
        <f t="shared" si="0"/>
        <v>1</v>
      </c>
      <c r="Q7" s="19">
        <v>0.03</v>
      </c>
      <c r="R7" s="4" t="s">
        <v>430</v>
      </c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129</v>
      </c>
      <c r="B8" s="16">
        <v>179000</v>
      </c>
      <c r="C8" s="24">
        <v>0.63</v>
      </c>
      <c r="D8" s="3"/>
      <c r="E8" s="60">
        <v>3</v>
      </c>
      <c r="F8" s="17">
        <v>4</v>
      </c>
      <c r="G8" s="73">
        <v>46189</v>
      </c>
      <c r="H8" s="18">
        <v>8662</v>
      </c>
      <c r="I8" s="17" t="s">
        <v>42</v>
      </c>
      <c r="J8" s="4" t="s">
        <v>763</v>
      </c>
      <c r="K8" s="4" t="s">
        <v>43</v>
      </c>
      <c r="L8" s="17"/>
      <c r="M8" s="17" t="s">
        <v>836</v>
      </c>
      <c r="N8" s="18">
        <v>7362</v>
      </c>
      <c r="O8" s="17" t="s">
        <v>31</v>
      </c>
      <c r="P8" s="19">
        <f t="shared" si="0"/>
        <v>0.84991918725467563</v>
      </c>
      <c r="Q8" s="19"/>
      <c r="R8" s="4" t="s">
        <v>837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3</v>
      </c>
      <c r="G9" s="73">
        <v>46188</v>
      </c>
      <c r="H9" s="18">
        <v>8797</v>
      </c>
      <c r="I9" s="17" t="s">
        <v>154</v>
      </c>
      <c r="J9" s="4" t="s">
        <v>838</v>
      </c>
      <c r="K9" s="4" t="s">
        <v>434</v>
      </c>
      <c r="L9" s="17"/>
      <c r="M9" s="17" t="s">
        <v>151</v>
      </c>
      <c r="N9" s="18">
        <v>6355</v>
      </c>
      <c r="O9" s="17" t="s">
        <v>31</v>
      </c>
      <c r="P9" s="19">
        <f t="shared" si="0"/>
        <v>0.7224053654654996</v>
      </c>
      <c r="Q9" s="19">
        <v>0.03</v>
      </c>
      <c r="R9" s="4" t="s">
        <v>839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2</v>
      </c>
      <c r="G10" s="73">
        <v>46187</v>
      </c>
      <c r="H10" s="18">
        <v>9393</v>
      </c>
      <c r="I10" s="17" t="s">
        <v>212</v>
      </c>
      <c r="J10" s="4" t="s">
        <v>840</v>
      </c>
      <c r="K10" s="4" t="s">
        <v>841</v>
      </c>
      <c r="L10" s="17"/>
      <c r="M10" s="17"/>
      <c r="N10" s="18">
        <v>7153</v>
      </c>
      <c r="O10" s="17" t="s">
        <v>31</v>
      </c>
      <c r="P10" s="19">
        <f t="shared" si="0"/>
        <v>0.7615245395507293</v>
      </c>
      <c r="Q10" s="19">
        <v>0.01</v>
      </c>
      <c r="R10" s="4" t="s">
        <v>842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0.94</v>
      </c>
      <c r="B11" s="16">
        <v>105000</v>
      </c>
      <c r="C11" s="8"/>
      <c r="D11" s="3"/>
      <c r="E11" s="60">
        <v>6</v>
      </c>
      <c r="F11" s="17">
        <v>1</v>
      </c>
      <c r="G11" s="73">
        <v>46186</v>
      </c>
      <c r="H11" s="18">
        <v>9453</v>
      </c>
      <c r="I11" s="17" t="s">
        <v>47</v>
      </c>
      <c r="J11" s="4" t="s">
        <v>514</v>
      </c>
      <c r="K11" s="4" t="s">
        <v>843</v>
      </c>
      <c r="L11" s="17"/>
      <c r="M11" s="17"/>
      <c r="N11" s="18">
        <v>6760</v>
      </c>
      <c r="O11" s="17" t="s">
        <v>31</v>
      </c>
      <c r="P11" s="19">
        <f t="shared" si="0"/>
        <v>0.71511689410769064</v>
      </c>
      <c r="Q11" s="19">
        <v>0.01</v>
      </c>
      <c r="R11" s="4" t="s">
        <v>844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20</v>
      </c>
      <c r="G12" s="73">
        <v>46185</v>
      </c>
      <c r="H12" s="18">
        <v>9281</v>
      </c>
      <c r="I12" s="17" t="s">
        <v>54</v>
      </c>
      <c r="J12" s="4" t="s">
        <v>845</v>
      </c>
      <c r="K12" s="4" t="s">
        <v>846</v>
      </c>
      <c r="L12" s="17"/>
      <c r="M12" s="85" t="s">
        <v>57</v>
      </c>
      <c r="N12" s="18">
        <v>4000</v>
      </c>
      <c r="O12" s="17" t="s">
        <v>31</v>
      </c>
      <c r="P12" s="19">
        <f t="shared" si="0"/>
        <v>0.43098804008188774</v>
      </c>
      <c r="Q12" s="19">
        <v>0.04</v>
      </c>
      <c r="R12" s="4" t="s">
        <v>847</v>
      </c>
      <c r="S12" s="17" t="s">
        <v>848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13563750</v>
      </c>
      <c r="D13" s="3"/>
      <c r="E13" s="60">
        <v>8</v>
      </c>
      <c r="F13" s="17">
        <v>19</v>
      </c>
      <c r="G13" s="73">
        <v>46184</v>
      </c>
      <c r="H13" s="18">
        <v>9555</v>
      </c>
      <c r="I13" s="17" t="s">
        <v>59</v>
      </c>
      <c r="J13" s="4" t="s">
        <v>849</v>
      </c>
      <c r="K13" s="4" t="s">
        <v>850</v>
      </c>
      <c r="L13" s="17"/>
      <c r="M13" s="85" t="s">
        <v>57</v>
      </c>
      <c r="N13" s="18">
        <v>6500</v>
      </c>
      <c r="O13" s="17" t="s">
        <v>31</v>
      </c>
      <c r="P13" s="19">
        <f t="shared" si="0"/>
        <v>0.68027210884353739</v>
      </c>
      <c r="Q13" s="19"/>
      <c r="R13" s="4" t="s">
        <v>851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11313750</v>
      </c>
      <c r="D14" s="3"/>
      <c r="E14" s="60">
        <v>9</v>
      </c>
      <c r="F14" s="17">
        <v>18</v>
      </c>
      <c r="G14" s="73">
        <v>46183</v>
      </c>
      <c r="H14" s="18">
        <v>9352</v>
      </c>
      <c r="I14" s="17" t="s">
        <v>64</v>
      </c>
      <c r="J14" s="4" t="s">
        <v>852</v>
      </c>
      <c r="K14" s="4" t="s">
        <v>780</v>
      </c>
      <c r="L14" s="17"/>
      <c r="M14" s="85" t="s">
        <v>57</v>
      </c>
      <c r="N14" s="18">
        <v>6500</v>
      </c>
      <c r="O14" s="17" t="s">
        <v>31</v>
      </c>
      <c r="P14" s="19">
        <f t="shared" si="0"/>
        <v>0.69503849443969201</v>
      </c>
      <c r="Q14" s="19"/>
      <c r="R14" s="4" t="s">
        <v>853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17</v>
      </c>
      <c r="G15" s="73">
        <v>46182</v>
      </c>
      <c r="H15" s="18">
        <v>9416</v>
      </c>
      <c r="I15" s="17" t="s">
        <v>69</v>
      </c>
      <c r="J15" s="4" t="s">
        <v>854</v>
      </c>
      <c r="K15" s="4" t="s">
        <v>165</v>
      </c>
      <c r="L15" s="17"/>
      <c r="M15" s="85" t="s">
        <v>57</v>
      </c>
      <c r="N15" s="18">
        <v>5500</v>
      </c>
      <c r="O15" s="17" t="s">
        <v>31</v>
      </c>
      <c r="P15" s="19">
        <f t="shared" si="0"/>
        <v>0.58411214953271029</v>
      </c>
      <c r="Q15" s="19">
        <v>0.01</v>
      </c>
      <c r="R15" s="4" t="s">
        <v>855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2000000</v>
      </c>
      <c r="D16" s="3"/>
      <c r="E16" s="60">
        <v>11</v>
      </c>
      <c r="F16" s="17">
        <v>16</v>
      </c>
      <c r="G16" s="73">
        <v>46181</v>
      </c>
      <c r="H16" s="18">
        <v>10316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7088</v>
      </c>
      <c r="O16" s="17" t="s">
        <v>31</v>
      </c>
      <c r="P16" s="19">
        <f t="shared" si="0"/>
        <v>0.68708801861186508</v>
      </c>
      <c r="Q16" s="19"/>
      <c r="R16" s="4" t="s">
        <v>856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3</v>
      </c>
      <c r="G21" s="45">
        <v>46191</v>
      </c>
      <c r="H21" s="46">
        <v>7088</v>
      </c>
      <c r="I21" s="46">
        <v>6379</v>
      </c>
      <c r="J21" s="44" t="s">
        <v>169</v>
      </c>
      <c r="K21" s="47">
        <v>0.69</v>
      </c>
      <c r="L21" s="48"/>
      <c r="M21" s="49"/>
      <c r="N21" s="50" t="s">
        <v>857</v>
      </c>
      <c r="O21" s="44" t="s">
        <v>556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2</v>
      </c>
      <c r="G22" s="45">
        <v>46190</v>
      </c>
      <c r="H22" s="46">
        <v>5530</v>
      </c>
      <c r="I22" s="46">
        <v>4977</v>
      </c>
      <c r="J22" s="44" t="s">
        <v>226</v>
      </c>
      <c r="K22" s="47">
        <v>0.72</v>
      </c>
      <c r="L22" s="48"/>
      <c r="M22" s="49" t="s">
        <v>858</v>
      </c>
      <c r="N22" s="50" t="s">
        <v>367</v>
      </c>
      <c r="O22" s="44" t="s">
        <v>673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1</v>
      </c>
      <c r="G23" s="45">
        <v>46189</v>
      </c>
      <c r="H23" s="46">
        <v>5556</v>
      </c>
      <c r="I23" s="46">
        <v>5000</v>
      </c>
      <c r="J23" s="44" t="s">
        <v>88</v>
      </c>
      <c r="K23" s="47">
        <v>0.68</v>
      </c>
      <c r="L23" s="48"/>
      <c r="M23" s="49" t="s">
        <v>859</v>
      </c>
      <c r="N23" s="50" t="s">
        <v>274</v>
      </c>
      <c r="O23" s="44" t="s">
        <v>860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17</v>
      </c>
      <c r="G24" s="45">
        <v>46188</v>
      </c>
      <c r="H24" s="46">
        <v>4319</v>
      </c>
      <c r="I24" s="46">
        <v>3887</v>
      </c>
      <c r="J24" s="44" t="s">
        <v>92</v>
      </c>
      <c r="K24" s="47">
        <v>0.53</v>
      </c>
      <c r="L24" s="88"/>
      <c r="M24" s="49" t="s">
        <v>861</v>
      </c>
      <c r="N24" s="50" t="s">
        <v>862</v>
      </c>
      <c r="O24" s="44" t="s">
        <v>863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15</v>
      </c>
      <c r="F25" s="44">
        <v>16</v>
      </c>
      <c r="G25" s="45">
        <v>46187</v>
      </c>
      <c r="H25" s="46">
        <v>5499</v>
      </c>
      <c r="I25" s="46">
        <v>4949</v>
      </c>
      <c r="J25" s="44" t="s">
        <v>96</v>
      </c>
      <c r="K25" s="47">
        <v>0.81</v>
      </c>
      <c r="L25" s="88"/>
      <c r="M25" s="49" t="s">
        <v>864</v>
      </c>
      <c r="N25" s="50" t="s">
        <v>865</v>
      </c>
      <c r="O25" s="44" t="s">
        <v>866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16</v>
      </c>
      <c r="F26" s="44">
        <v>15</v>
      </c>
      <c r="G26" s="45">
        <v>46186</v>
      </c>
      <c r="H26" s="46">
        <v>6342</v>
      </c>
      <c r="I26" s="46">
        <v>5707</v>
      </c>
      <c r="J26" s="44" t="s">
        <v>102</v>
      </c>
      <c r="K26" s="47">
        <v>0.77</v>
      </c>
      <c r="L26" s="88"/>
      <c r="M26" s="49" t="s">
        <v>867</v>
      </c>
      <c r="N26" s="50" t="s">
        <v>98</v>
      </c>
      <c r="O26" s="44" t="s">
        <v>99</v>
      </c>
      <c r="P26" s="46"/>
      <c r="Q26" s="52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17</v>
      </c>
      <c r="F27" s="44">
        <v>14</v>
      </c>
      <c r="G27" s="45">
        <v>46185</v>
      </c>
      <c r="H27" s="46">
        <v>6155</v>
      </c>
      <c r="I27" s="46">
        <v>5540</v>
      </c>
      <c r="J27" s="44" t="s">
        <v>107</v>
      </c>
      <c r="K27" s="47">
        <v>0.74</v>
      </c>
      <c r="L27" s="48"/>
      <c r="M27" s="49" t="s">
        <v>868</v>
      </c>
      <c r="N27" s="50" t="s">
        <v>182</v>
      </c>
      <c r="O27" s="44" t="s">
        <v>755</v>
      </c>
      <c r="P27" s="46">
        <v>2051</v>
      </c>
      <c r="Q27" s="52">
        <f t="shared" ref="Q27:Q28" si="1">P27/H27</f>
        <v>0.33322502030869211</v>
      </c>
      <c r="R27" s="46" t="s">
        <v>869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18</v>
      </c>
      <c r="F28" s="44">
        <v>12</v>
      </c>
      <c r="G28" s="45">
        <v>46184</v>
      </c>
      <c r="H28" s="46">
        <v>3676</v>
      </c>
      <c r="I28" s="46">
        <v>3309</v>
      </c>
      <c r="J28" s="44" t="s">
        <v>282</v>
      </c>
      <c r="K28" s="47">
        <v>0.49</v>
      </c>
      <c r="L28" s="88"/>
      <c r="M28" s="49" t="s">
        <v>870</v>
      </c>
      <c r="N28" s="50" t="s">
        <v>871</v>
      </c>
      <c r="O28" s="44" t="s">
        <v>872</v>
      </c>
      <c r="P28" s="46">
        <v>2048</v>
      </c>
      <c r="Q28" s="52">
        <f t="shared" si="1"/>
        <v>0.5571273122959739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44">
        <v>19</v>
      </c>
      <c r="F29" s="44">
        <v>10</v>
      </c>
      <c r="G29" s="45">
        <v>46183</v>
      </c>
      <c r="H29" s="46">
        <v>3542</v>
      </c>
      <c r="I29" s="46">
        <v>3188</v>
      </c>
      <c r="J29" s="44" t="s">
        <v>331</v>
      </c>
      <c r="K29" s="47">
        <v>0.76</v>
      </c>
      <c r="L29" s="48"/>
      <c r="M29" s="49" t="s">
        <v>873</v>
      </c>
      <c r="N29" s="50" t="s">
        <v>455</v>
      </c>
      <c r="O29" s="44" t="s">
        <v>874</v>
      </c>
      <c r="P29" s="46"/>
      <c r="Q29" s="52"/>
      <c r="R29" s="46" t="s">
        <v>875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55" t="s">
        <v>110</v>
      </c>
      <c r="I32" s="56" t="s">
        <v>76</v>
      </c>
      <c r="J32" s="105" t="s">
        <v>111</v>
      </c>
      <c r="K32" s="106"/>
      <c r="L32" s="107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8" t="s">
        <v>112</v>
      </c>
      <c r="F33" s="89"/>
      <c r="G33" s="17" t="s">
        <v>876</v>
      </c>
      <c r="H33" s="4"/>
      <c r="I33" s="3"/>
      <c r="J33" s="59" t="s">
        <v>114</v>
      </c>
      <c r="K33" s="59" t="s">
        <v>115</v>
      </c>
      <c r="L33" s="59" t="s">
        <v>116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3"/>
      <c r="F34" s="42"/>
      <c r="G34" s="17"/>
      <c r="H34" s="3"/>
      <c r="I34" s="3"/>
      <c r="J34" s="3" t="s">
        <v>117</v>
      </c>
      <c r="K34" s="53"/>
      <c r="L34" s="3" t="s">
        <v>335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 t="s">
        <v>118</v>
      </c>
      <c r="F35" s="17"/>
      <c r="G35" s="89"/>
      <c r="H35" s="3"/>
      <c r="I35" s="3"/>
      <c r="J35" s="3"/>
      <c r="K35" s="4"/>
      <c r="L35" s="53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17" t="s">
        <v>119</v>
      </c>
      <c r="F36" s="17">
        <v>0</v>
      </c>
      <c r="G36" s="17"/>
      <c r="H36" s="3"/>
      <c r="I36" s="3"/>
      <c r="J36" s="3" t="s">
        <v>120</v>
      </c>
      <c r="K36" s="53"/>
      <c r="L36" s="53">
        <v>0.03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17" t="s">
        <v>122</v>
      </c>
      <c r="F37" s="17">
        <v>0</v>
      </c>
      <c r="G37" s="17"/>
      <c r="H37" s="5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"/>
      <c r="F38" s="17"/>
      <c r="G38" s="17"/>
      <c r="H38" s="5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123</v>
      </c>
      <c r="F39" s="17"/>
      <c r="G39" s="17"/>
      <c r="H39" s="53"/>
      <c r="I39" s="3"/>
      <c r="J39" s="3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1" t="s">
        <v>124</v>
      </c>
      <c r="F40" s="17">
        <v>0</v>
      </c>
      <c r="G40" s="17"/>
      <c r="H40" s="3"/>
      <c r="I40" s="3"/>
      <c r="J40" s="62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1" t="s">
        <v>125</v>
      </c>
      <c r="F41" s="17">
        <v>0</v>
      </c>
      <c r="G41" s="17"/>
      <c r="H41" s="3"/>
      <c r="I41" s="3"/>
      <c r="J41" s="63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3"/>
      <c r="F42" s="3"/>
      <c r="G42" s="3"/>
      <c r="H42" s="3"/>
      <c r="I42" s="3"/>
      <c r="J42" s="64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55" t="s">
        <v>126</v>
      </c>
      <c r="F43" s="55"/>
      <c r="G43" s="3"/>
      <c r="H43" s="3"/>
      <c r="J43" s="4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5" t="s">
        <v>20</v>
      </c>
      <c r="F44" s="65" t="s">
        <v>127</v>
      </c>
      <c r="G44" s="65" t="s">
        <v>128</v>
      </c>
      <c r="H44" s="65" t="s">
        <v>129</v>
      </c>
      <c r="I44" s="65" t="s">
        <v>87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130</v>
      </c>
      <c r="F45" s="67">
        <v>1280</v>
      </c>
      <c r="G45" s="68">
        <v>0</v>
      </c>
      <c r="H45" s="69" t="s">
        <v>131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132</v>
      </c>
      <c r="F46" s="67">
        <v>222</v>
      </c>
      <c r="G46" s="68">
        <v>0</v>
      </c>
      <c r="H46" s="69" t="s">
        <v>131</v>
      </c>
      <c r="I46" s="68" t="s">
        <v>641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243</v>
      </c>
      <c r="F47" s="67">
        <v>206</v>
      </c>
      <c r="G47" s="68">
        <v>0</v>
      </c>
      <c r="H47" s="69" t="s">
        <v>131</v>
      </c>
      <c r="I47" s="68" t="s">
        <v>133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 t="s">
        <v>136</v>
      </c>
      <c r="F48" s="71">
        <v>320</v>
      </c>
      <c r="G48" s="72"/>
      <c r="H48" s="69" t="s">
        <v>131</v>
      </c>
      <c r="I48" s="68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 t="s">
        <v>877</v>
      </c>
      <c r="F49" s="71">
        <v>145</v>
      </c>
      <c r="G49" s="72"/>
      <c r="H49" s="69" t="s">
        <v>131</v>
      </c>
      <c r="I49" s="68"/>
      <c r="J49" s="4"/>
      <c r="K49" s="4"/>
      <c r="L49" s="4"/>
      <c r="M49" s="73"/>
      <c r="N49" s="18"/>
      <c r="O49" s="18"/>
      <c r="P49" s="17"/>
      <c r="Q49" s="74"/>
      <c r="R49" s="53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 t="s">
        <v>246</v>
      </c>
      <c r="F50" s="71">
        <v>165</v>
      </c>
      <c r="G50" s="72"/>
      <c r="H50" s="69" t="s">
        <v>131</v>
      </c>
      <c r="I50" s="68" t="s">
        <v>293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66"/>
      <c r="F52" s="4" t="s">
        <v>140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0"/>
      <c r="F53" s="4" t="s">
        <v>141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5"/>
      <c r="F54" s="4" t="s">
        <v>142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E55" s="76"/>
      <c r="F55" s="4" t="s">
        <v>143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2:L32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6" t="s">
        <v>3</v>
      </c>
      <c r="B4" s="7"/>
      <c r="C4" s="8">
        <v>144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10" t="s">
        <v>18</v>
      </c>
      <c r="B5" s="3" t="s">
        <v>247</v>
      </c>
      <c r="C5" s="8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14"/>
      <c r="B6" s="3"/>
      <c r="C6" s="8"/>
      <c r="D6" s="3"/>
      <c r="E6" s="60">
        <v>1</v>
      </c>
      <c r="F6" s="17">
        <v>7</v>
      </c>
      <c r="G6" s="73">
        <v>46192</v>
      </c>
      <c r="H6" s="18">
        <v>7380</v>
      </c>
      <c r="I6" s="17" t="s">
        <v>28</v>
      </c>
      <c r="J6" s="4" t="s">
        <v>29</v>
      </c>
      <c r="K6" s="4" t="s">
        <v>878</v>
      </c>
      <c r="L6" s="17">
        <v>0</v>
      </c>
      <c r="M6" s="86"/>
      <c r="N6" s="18">
        <v>7380</v>
      </c>
      <c r="O6" s="17" t="s">
        <v>31</v>
      </c>
      <c r="P6" s="19">
        <f t="shared" ref="P6:P16" si="0">N6/H6</f>
        <v>1</v>
      </c>
      <c r="Q6" s="19">
        <v>7.0000000000000007E-2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14" t="s">
        <v>34</v>
      </c>
      <c r="B7" s="3" t="s">
        <v>35</v>
      </c>
      <c r="C7" s="8" t="s">
        <v>36</v>
      </c>
      <c r="D7" s="3"/>
      <c r="E7" s="60">
        <v>2</v>
      </c>
      <c r="F7" s="17">
        <v>6</v>
      </c>
      <c r="G7" s="73">
        <v>46191</v>
      </c>
      <c r="H7" s="18">
        <v>8670</v>
      </c>
      <c r="I7" s="17" t="s">
        <v>37</v>
      </c>
      <c r="J7" s="4" t="s">
        <v>38</v>
      </c>
      <c r="K7" s="4" t="s">
        <v>38</v>
      </c>
      <c r="L7" s="17"/>
      <c r="M7" s="17" t="s">
        <v>879</v>
      </c>
      <c r="N7" s="18">
        <v>8670</v>
      </c>
      <c r="O7" s="17" t="s">
        <v>31</v>
      </c>
      <c r="P7" s="19">
        <f t="shared" si="0"/>
        <v>1</v>
      </c>
      <c r="Q7" s="19">
        <v>0.05</v>
      </c>
      <c r="R7" s="4"/>
      <c r="S7" s="17" t="s">
        <v>539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3">
        <v>125</v>
      </c>
      <c r="B8" s="16">
        <v>184000</v>
      </c>
      <c r="C8" s="24">
        <v>0.6</v>
      </c>
      <c r="D8" s="3"/>
      <c r="E8" s="60">
        <v>3</v>
      </c>
      <c r="F8" s="17">
        <v>5</v>
      </c>
      <c r="G8" s="73">
        <v>46190</v>
      </c>
      <c r="H8" s="18">
        <v>9678</v>
      </c>
      <c r="I8" s="17" t="s">
        <v>42</v>
      </c>
      <c r="J8" s="4" t="s">
        <v>43</v>
      </c>
      <c r="K8" s="4" t="s">
        <v>43</v>
      </c>
      <c r="L8" s="17"/>
      <c r="M8" s="17" t="s">
        <v>255</v>
      </c>
      <c r="N8" s="18">
        <v>8710</v>
      </c>
      <c r="O8" s="17" t="s">
        <v>31</v>
      </c>
      <c r="P8" s="19">
        <f t="shared" si="0"/>
        <v>0.89997933457325896</v>
      </c>
      <c r="Q8" s="19">
        <v>7.0000000000000007E-2</v>
      </c>
      <c r="R8" s="4" t="s">
        <v>211</v>
      </c>
      <c r="S8" s="17" t="s">
        <v>539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14"/>
      <c r="B9" s="3"/>
      <c r="C9" s="8"/>
      <c r="D9" s="3"/>
      <c r="E9" s="60">
        <v>4</v>
      </c>
      <c r="F9" s="17">
        <v>4</v>
      </c>
      <c r="G9" s="73">
        <v>46189</v>
      </c>
      <c r="H9" s="18">
        <v>8662</v>
      </c>
      <c r="I9" s="17" t="s">
        <v>154</v>
      </c>
      <c r="J9" s="4" t="s">
        <v>208</v>
      </c>
      <c r="K9" s="4" t="s">
        <v>880</v>
      </c>
      <c r="L9" s="17"/>
      <c r="M9" s="17" t="s">
        <v>151</v>
      </c>
      <c r="N9" s="18">
        <v>6988</v>
      </c>
      <c r="O9" s="17" t="s">
        <v>31</v>
      </c>
      <c r="P9" s="19">
        <f t="shared" si="0"/>
        <v>0.80674209189563606</v>
      </c>
      <c r="Q9" s="19">
        <v>0.06</v>
      </c>
      <c r="R9" s="4" t="s">
        <v>881</v>
      </c>
      <c r="S9" s="17" t="s">
        <v>882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14" t="s">
        <v>52</v>
      </c>
      <c r="B10" s="3" t="s">
        <v>53</v>
      </c>
      <c r="C10" s="8"/>
      <c r="D10" s="3"/>
      <c r="E10" s="60">
        <v>5</v>
      </c>
      <c r="F10" s="17">
        <v>3</v>
      </c>
      <c r="G10" s="73">
        <v>46188</v>
      </c>
      <c r="H10" s="18">
        <v>8797</v>
      </c>
      <c r="I10" s="17" t="s">
        <v>212</v>
      </c>
      <c r="J10" s="4" t="s">
        <v>883</v>
      </c>
      <c r="K10" s="4" t="s">
        <v>884</v>
      </c>
      <c r="L10" s="17"/>
      <c r="M10" s="17"/>
      <c r="N10" s="18">
        <v>6037</v>
      </c>
      <c r="O10" s="17" t="s">
        <v>31</v>
      </c>
      <c r="P10" s="19">
        <f t="shared" si="0"/>
        <v>0.68625667841309534</v>
      </c>
      <c r="Q10" s="19"/>
      <c r="R10" s="4" t="s">
        <v>885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26">
        <v>0.85</v>
      </c>
      <c r="B11" s="16">
        <v>94000</v>
      </c>
      <c r="C11" s="8"/>
      <c r="D11" s="3"/>
      <c r="E11" s="60">
        <v>6</v>
      </c>
      <c r="F11" s="17">
        <v>2</v>
      </c>
      <c r="G11" s="73">
        <v>46187</v>
      </c>
      <c r="H11" s="18">
        <v>9393</v>
      </c>
      <c r="I11" s="17" t="s">
        <v>47</v>
      </c>
      <c r="J11" s="4" t="s">
        <v>886</v>
      </c>
      <c r="K11" s="4" t="s">
        <v>887</v>
      </c>
      <c r="L11" s="17"/>
      <c r="M11" s="17"/>
      <c r="N11" s="18">
        <v>7000</v>
      </c>
      <c r="O11" s="17" t="s">
        <v>31</v>
      </c>
      <c r="P11" s="19">
        <f t="shared" si="0"/>
        <v>0.74523581390397109</v>
      </c>
      <c r="Q11" s="19">
        <v>0.02</v>
      </c>
      <c r="R11" s="4" t="s">
        <v>45</v>
      </c>
      <c r="S11" s="17" t="s">
        <v>51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26"/>
      <c r="B12" s="16"/>
      <c r="C12" s="8"/>
      <c r="D12" s="3"/>
      <c r="E12" s="60">
        <v>7</v>
      </c>
      <c r="F12" s="17">
        <v>1</v>
      </c>
      <c r="G12" s="73">
        <v>46186</v>
      </c>
      <c r="H12" s="18">
        <v>9453</v>
      </c>
      <c r="I12" s="17" t="s">
        <v>54</v>
      </c>
      <c r="J12" s="4" t="s">
        <v>888</v>
      </c>
      <c r="K12" s="4" t="s">
        <v>889</v>
      </c>
      <c r="L12" s="17"/>
      <c r="M12" s="85" t="s">
        <v>57</v>
      </c>
      <c r="N12" s="18">
        <v>6500</v>
      </c>
      <c r="O12" s="17" t="s">
        <v>31</v>
      </c>
      <c r="P12" s="19">
        <f t="shared" si="0"/>
        <v>0.68761239818047182</v>
      </c>
      <c r="Q12" s="19">
        <v>0.02</v>
      </c>
      <c r="R12" s="4" t="s">
        <v>890</v>
      </c>
      <c r="S12" s="17" t="s">
        <v>46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15"/>
      <c r="B13" s="17" t="s">
        <v>68</v>
      </c>
      <c r="C13" s="27">
        <v>11801250</v>
      </c>
      <c r="D13" s="3"/>
      <c r="E13" s="60">
        <v>8</v>
      </c>
      <c r="F13" s="17">
        <v>20</v>
      </c>
      <c r="G13" s="73">
        <v>46185</v>
      </c>
      <c r="H13" s="18">
        <v>9281</v>
      </c>
      <c r="I13" s="17" t="s">
        <v>59</v>
      </c>
      <c r="J13" s="4" t="s">
        <v>891</v>
      </c>
      <c r="K13" s="4" t="s">
        <v>892</v>
      </c>
      <c r="L13" s="17"/>
      <c r="M13" s="85" t="s">
        <v>57</v>
      </c>
      <c r="N13" s="18">
        <v>4000</v>
      </c>
      <c r="O13" s="17" t="s">
        <v>31</v>
      </c>
      <c r="P13" s="19">
        <f t="shared" si="0"/>
        <v>0.43098804008188774</v>
      </c>
      <c r="Q13" s="19"/>
      <c r="R13" s="4" t="s">
        <v>893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15"/>
      <c r="B14" s="3" t="s">
        <v>74</v>
      </c>
      <c r="C14" s="27">
        <v>9892500</v>
      </c>
      <c r="D14" s="3"/>
      <c r="E14" s="60">
        <v>9</v>
      </c>
      <c r="F14" s="17">
        <v>19</v>
      </c>
      <c r="G14" s="73">
        <v>46184</v>
      </c>
      <c r="H14" s="18">
        <v>9555</v>
      </c>
      <c r="I14" s="17" t="s">
        <v>64</v>
      </c>
      <c r="J14" s="4" t="s">
        <v>894</v>
      </c>
      <c r="K14" s="4" t="s">
        <v>895</v>
      </c>
      <c r="L14" s="17"/>
      <c r="M14" s="85" t="s">
        <v>57</v>
      </c>
      <c r="N14" s="18">
        <v>6500</v>
      </c>
      <c r="O14" s="17" t="s">
        <v>31</v>
      </c>
      <c r="P14" s="19">
        <f t="shared" si="0"/>
        <v>0.68027210884353739</v>
      </c>
      <c r="Q14" s="19"/>
      <c r="R14" s="4" t="s">
        <v>896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15"/>
      <c r="B15" s="3" t="s">
        <v>75</v>
      </c>
      <c r="C15" s="27"/>
      <c r="D15" s="3"/>
      <c r="E15" s="60">
        <v>10</v>
      </c>
      <c r="F15" s="17">
        <v>18</v>
      </c>
      <c r="G15" s="73">
        <v>46183</v>
      </c>
      <c r="H15" s="18">
        <v>9352</v>
      </c>
      <c r="I15" s="17" t="s">
        <v>69</v>
      </c>
      <c r="J15" s="4" t="s">
        <v>219</v>
      </c>
      <c r="K15" s="4" t="s">
        <v>70</v>
      </c>
      <c r="L15" s="17"/>
      <c r="M15" s="85" t="s">
        <v>57</v>
      </c>
      <c r="N15" s="18">
        <v>6500</v>
      </c>
      <c r="O15" s="17" t="s">
        <v>31</v>
      </c>
      <c r="P15" s="19">
        <f t="shared" si="0"/>
        <v>0.69503849443969201</v>
      </c>
      <c r="Q15" s="19"/>
      <c r="R15" s="4" t="s">
        <v>897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40" t="s">
        <v>76</v>
      </c>
      <c r="B16" s="3" t="s">
        <v>77</v>
      </c>
      <c r="C16" s="27">
        <v>1500000</v>
      </c>
      <c r="D16" s="3"/>
      <c r="E16" s="60">
        <v>11</v>
      </c>
      <c r="F16" s="17">
        <v>17</v>
      </c>
      <c r="G16" s="73">
        <v>46182</v>
      </c>
      <c r="H16" s="18">
        <v>9416</v>
      </c>
      <c r="I16" s="17" t="s">
        <v>169</v>
      </c>
      <c r="J16" s="4"/>
      <c r="K16" s="4"/>
      <c r="L16" s="41"/>
      <c r="M16" s="85" t="s">
        <v>170</v>
      </c>
      <c r="N16" s="18">
        <v>5737</v>
      </c>
      <c r="O16" s="17" t="s">
        <v>31</v>
      </c>
      <c r="P16" s="19">
        <f t="shared" si="0"/>
        <v>0.60928207306711979</v>
      </c>
      <c r="Q16" s="19"/>
      <c r="R16" s="4" t="s">
        <v>898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1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6" t="s">
        <v>3</v>
      </c>
      <c r="B18" s="3"/>
      <c r="C18" s="8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14"/>
      <c r="B19" s="3"/>
      <c r="C19" s="8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14" t="s">
        <v>34</v>
      </c>
      <c r="B20" s="3" t="s">
        <v>35</v>
      </c>
      <c r="C20" s="8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14"/>
      <c r="B21" s="3"/>
      <c r="C21" s="8"/>
      <c r="D21" s="14"/>
      <c r="E21" s="44">
        <v>11</v>
      </c>
      <c r="F21" s="44">
        <v>4</v>
      </c>
      <c r="G21" s="45">
        <v>46192</v>
      </c>
      <c r="H21" s="46">
        <v>5737</v>
      </c>
      <c r="I21" s="46">
        <v>5163</v>
      </c>
      <c r="J21" s="44" t="s">
        <v>169</v>
      </c>
      <c r="K21" s="47">
        <v>0.61</v>
      </c>
      <c r="L21" s="48"/>
      <c r="M21" s="49"/>
      <c r="N21" s="50" t="s">
        <v>899</v>
      </c>
      <c r="O21" s="44" t="s">
        <v>900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14"/>
      <c r="B22" s="3"/>
      <c r="C22" s="8"/>
      <c r="D22" s="14"/>
      <c r="E22" s="44">
        <v>12</v>
      </c>
      <c r="F22" s="44">
        <v>3</v>
      </c>
      <c r="G22" s="45">
        <v>46191</v>
      </c>
      <c r="H22" s="46">
        <v>7088</v>
      </c>
      <c r="I22" s="46">
        <v>6379</v>
      </c>
      <c r="J22" s="44" t="s">
        <v>226</v>
      </c>
      <c r="K22" s="47">
        <v>0.69</v>
      </c>
      <c r="L22" s="48">
        <v>0.01</v>
      </c>
      <c r="M22" s="49" t="s">
        <v>901</v>
      </c>
      <c r="N22" s="50" t="s">
        <v>698</v>
      </c>
      <c r="O22" s="44" t="s">
        <v>699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14" t="s">
        <v>52</v>
      </c>
      <c r="B23" s="3" t="s">
        <v>53</v>
      </c>
      <c r="C23" s="8"/>
      <c r="D23" s="14"/>
      <c r="E23" s="44">
        <v>13</v>
      </c>
      <c r="F23" s="44">
        <v>2</v>
      </c>
      <c r="G23" s="45">
        <v>46190</v>
      </c>
      <c r="H23" s="46">
        <v>5530</v>
      </c>
      <c r="I23" s="46">
        <v>4977</v>
      </c>
      <c r="J23" s="44" t="s">
        <v>88</v>
      </c>
      <c r="K23" s="47">
        <v>0.72</v>
      </c>
      <c r="L23" s="48"/>
      <c r="M23" s="49" t="s">
        <v>902</v>
      </c>
      <c r="N23" s="50" t="s">
        <v>594</v>
      </c>
      <c r="O23" s="44" t="s">
        <v>595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14"/>
      <c r="B24" s="16"/>
      <c r="C24" s="8"/>
      <c r="D24" s="14"/>
      <c r="E24" s="44">
        <v>14</v>
      </c>
      <c r="F24" s="44">
        <v>1</v>
      </c>
      <c r="G24" s="45">
        <v>46189</v>
      </c>
      <c r="H24" s="46">
        <v>5556</v>
      </c>
      <c r="I24" s="46">
        <v>5000</v>
      </c>
      <c r="J24" s="44" t="s">
        <v>92</v>
      </c>
      <c r="K24" s="47">
        <v>0.68</v>
      </c>
      <c r="L24" s="48"/>
      <c r="M24" s="49" t="s">
        <v>903</v>
      </c>
      <c r="N24" s="50" t="s">
        <v>454</v>
      </c>
      <c r="O24" s="44" t="s">
        <v>904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8"/>
      <c r="D25" s="14"/>
      <c r="E25" s="44">
        <v>15</v>
      </c>
      <c r="F25" s="44">
        <v>17</v>
      </c>
      <c r="G25" s="45">
        <v>46188</v>
      </c>
      <c r="H25" s="46">
        <v>4319</v>
      </c>
      <c r="I25" s="46">
        <v>3887</v>
      </c>
      <c r="J25" s="44" t="s">
        <v>96</v>
      </c>
      <c r="K25" s="47">
        <v>0.53</v>
      </c>
      <c r="L25" s="48">
        <v>0.01</v>
      </c>
      <c r="M25" s="49" t="s">
        <v>905</v>
      </c>
      <c r="N25" s="50" t="s">
        <v>745</v>
      </c>
      <c r="O25" s="44" t="s">
        <v>633</v>
      </c>
      <c r="P25" s="46"/>
      <c r="Q25" s="51"/>
      <c r="R25" s="46" t="s">
        <v>100</v>
      </c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8"/>
      <c r="D26" s="14"/>
      <c r="E26" s="44">
        <v>16</v>
      </c>
      <c r="F26" s="44">
        <v>16</v>
      </c>
      <c r="G26" s="45">
        <v>46187</v>
      </c>
      <c r="H26" s="46">
        <v>5499</v>
      </c>
      <c r="I26" s="46">
        <v>4949</v>
      </c>
      <c r="J26" s="44" t="s">
        <v>102</v>
      </c>
      <c r="K26" s="47">
        <v>0.81</v>
      </c>
      <c r="L26" s="88"/>
      <c r="M26" s="49" t="s">
        <v>906</v>
      </c>
      <c r="N26" s="50" t="s">
        <v>98</v>
      </c>
      <c r="O26" s="44" t="s">
        <v>907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3" t="s">
        <v>74</v>
      </c>
      <c r="C27" s="8"/>
      <c r="D27" s="14"/>
      <c r="E27" s="44">
        <v>17</v>
      </c>
      <c r="F27" s="44">
        <v>15</v>
      </c>
      <c r="G27" s="45">
        <v>46186</v>
      </c>
      <c r="H27" s="46">
        <v>6342</v>
      </c>
      <c r="I27" s="46">
        <v>5707</v>
      </c>
      <c r="J27" s="44" t="s">
        <v>107</v>
      </c>
      <c r="K27" s="47">
        <v>0.77</v>
      </c>
      <c r="L27" s="88"/>
      <c r="M27" s="49" t="s">
        <v>908</v>
      </c>
      <c r="N27" s="50" t="s">
        <v>182</v>
      </c>
      <c r="O27" s="44" t="s">
        <v>755</v>
      </c>
      <c r="P27" s="46"/>
      <c r="Q27" s="52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40"/>
      <c r="B28" s="3" t="s">
        <v>75</v>
      </c>
      <c r="C28" s="27"/>
      <c r="D28" s="14"/>
      <c r="E28" s="44">
        <v>18</v>
      </c>
      <c r="F28" s="44">
        <v>14</v>
      </c>
      <c r="G28" s="45">
        <v>46185</v>
      </c>
      <c r="H28" s="46">
        <v>6155</v>
      </c>
      <c r="I28" s="46">
        <v>5540</v>
      </c>
      <c r="J28" s="44" t="s">
        <v>282</v>
      </c>
      <c r="K28" s="47">
        <v>0.74</v>
      </c>
      <c r="L28" s="48"/>
      <c r="M28" s="49" t="s">
        <v>909</v>
      </c>
      <c r="N28" s="50" t="s">
        <v>502</v>
      </c>
      <c r="O28" s="44" t="s">
        <v>910</v>
      </c>
      <c r="P28" s="46">
        <v>2051</v>
      </c>
      <c r="Q28" s="52">
        <f t="shared" ref="Q28:Q29" si="1">P28/H28</f>
        <v>0.33322502030869211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15"/>
      <c r="B29" s="3" t="s">
        <v>77</v>
      </c>
      <c r="C29" s="27"/>
      <c r="D29" s="14"/>
      <c r="E29" s="44">
        <v>19</v>
      </c>
      <c r="F29" s="44">
        <v>12</v>
      </c>
      <c r="G29" s="45">
        <v>46184</v>
      </c>
      <c r="H29" s="46">
        <v>3676</v>
      </c>
      <c r="I29" s="46">
        <v>3309</v>
      </c>
      <c r="J29" s="44" t="s">
        <v>331</v>
      </c>
      <c r="K29" s="47">
        <v>0.49</v>
      </c>
      <c r="L29" s="88"/>
      <c r="M29" s="49" t="s">
        <v>911</v>
      </c>
      <c r="N29" s="50" t="s">
        <v>792</v>
      </c>
      <c r="O29" s="44" t="s">
        <v>912</v>
      </c>
      <c r="P29" s="46">
        <v>2048</v>
      </c>
      <c r="Q29" s="52">
        <f t="shared" si="1"/>
        <v>0.5571273122959739</v>
      </c>
      <c r="R29" s="46" t="s">
        <v>106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11" t="s">
        <v>121</v>
      </c>
      <c r="B30" s="112"/>
      <c r="C30" s="113"/>
      <c r="D30" s="14"/>
      <c r="E30" s="44">
        <v>20</v>
      </c>
      <c r="F30" s="44">
        <v>10</v>
      </c>
      <c r="G30" s="45">
        <v>46183</v>
      </c>
      <c r="H30" s="46">
        <v>3542</v>
      </c>
      <c r="I30" s="46">
        <v>3188</v>
      </c>
      <c r="J30" s="44" t="s">
        <v>385</v>
      </c>
      <c r="K30" s="47">
        <v>0.76</v>
      </c>
      <c r="L30" s="48"/>
      <c r="M30" s="49" t="s">
        <v>913</v>
      </c>
      <c r="N30" s="50" t="s">
        <v>638</v>
      </c>
      <c r="O30" s="44" t="s">
        <v>639</v>
      </c>
      <c r="P30" s="46"/>
      <c r="Q30" s="52"/>
      <c r="R30" s="46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6" t="s">
        <v>3</v>
      </c>
      <c r="B31" s="3"/>
      <c r="C31" s="8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14"/>
      <c r="B32" s="3"/>
      <c r="C32" s="8"/>
      <c r="D32" s="14"/>
      <c r="E32" s="55" t="s">
        <v>110</v>
      </c>
      <c r="I32" s="56" t="s">
        <v>76</v>
      </c>
      <c r="J32" s="105" t="s">
        <v>111</v>
      </c>
      <c r="K32" s="106"/>
      <c r="L32" s="107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14" t="s">
        <v>34</v>
      </c>
      <c r="B33" s="3" t="s">
        <v>35</v>
      </c>
      <c r="C33" s="8" t="s">
        <v>36</v>
      </c>
      <c r="D33" s="14"/>
      <c r="E33" s="58" t="s">
        <v>112</v>
      </c>
      <c r="F33" s="89"/>
      <c r="G33" s="17" t="s">
        <v>914</v>
      </c>
      <c r="H33" s="4"/>
      <c r="I33" s="3"/>
      <c r="J33" s="59" t="s">
        <v>114</v>
      </c>
      <c r="K33" s="59" t="s">
        <v>115</v>
      </c>
      <c r="L33" s="59" t="s">
        <v>116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8"/>
      <c r="D34" s="14"/>
      <c r="E34" s="3"/>
      <c r="F34" s="42"/>
      <c r="G34" s="17"/>
      <c r="H34" s="3"/>
      <c r="I34" s="3"/>
      <c r="J34" s="3" t="s">
        <v>117</v>
      </c>
      <c r="K34" s="53"/>
      <c r="L34" s="53">
        <v>0.06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8"/>
      <c r="D35" s="14"/>
      <c r="E35" s="3" t="s">
        <v>118</v>
      </c>
      <c r="F35" s="17"/>
      <c r="G35" s="89"/>
      <c r="H35" s="3"/>
      <c r="I35" s="3"/>
      <c r="J35" s="3"/>
      <c r="K35" s="4"/>
      <c r="L35" s="53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8"/>
      <c r="D36" s="14"/>
      <c r="E36" s="17" t="s">
        <v>119</v>
      </c>
      <c r="F36" s="17">
        <v>0</v>
      </c>
      <c r="G36" s="17"/>
      <c r="H36" s="3"/>
      <c r="I36" s="3"/>
      <c r="J36" s="3" t="s">
        <v>120</v>
      </c>
      <c r="K36" s="53"/>
      <c r="L36" s="53">
        <v>0.09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53"/>
      <c r="B37" s="16"/>
      <c r="C37" s="8"/>
      <c r="D37" s="14"/>
      <c r="E37" s="17" t="s">
        <v>122</v>
      </c>
      <c r="F37" s="17">
        <v>0</v>
      </c>
      <c r="G37" s="17"/>
      <c r="H37" s="5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14"/>
      <c r="B38" s="16"/>
      <c r="C38" s="8"/>
      <c r="D38" s="14"/>
      <c r="E38" s="5"/>
      <c r="F38" s="17"/>
      <c r="G38" s="17"/>
      <c r="H38" s="5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8"/>
      <c r="D39" s="14"/>
      <c r="E39" s="55" t="s">
        <v>123</v>
      </c>
      <c r="F39" s="17"/>
      <c r="G39" s="17"/>
      <c r="H39" s="53"/>
      <c r="I39" s="3"/>
      <c r="J39" s="3"/>
      <c r="K39" s="17"/>
      <c r="L39" s="4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3" t="s">
        <v>74</v>
      </c>
      <c r="C40" s="8"/>
      <c r="D40" s="14"/>
      <c r="E40" s="61" t="s">
        <v>124</v>
      </c>
      <c r="F40" s="17">
        <v>0</v>
      </c>
      <c r="G40" s="17"/>
      <c r="H40" s="3"/>
      <c r="I40" s="3"/>
      <c r="J40" s="62"/>
      <c r="K40" s="17"/>
      <c r="L40" s="4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40"/>
      <c r="B41" s="3" t="s">
        <v>75</v>
      </c>
      <c r="C41" s="27"/>
      <c r="D41" s="14"/>
      <c r="E41" s="61" t="s">
        <v>125</v>
      </c>
      <c r="F41" s="17">
        <v>0</v>
      </c>
      <c r="G41" s="17"/>
      <c r="H41" s="3"/>
      <c r="I41" s="3"/>
      <c r="J41" s="63"/>
      <c r="K41" s="17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15"/>
      <c r="B42" s="3" t="s">
        <v>77</v>
      </c>
      <c r="C42" s="27"/>
      <c r="D42" s="14"/>
      <c r="E42" s="3"/>
      <c r="F42" s="3"/>
      <c r="G42" s="3"/>
      <c r="H42" s="3"/>
      <c r="I42" s="3"/>
      <c r="J42" s="64"/>
      <c r="K42" s="17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11" t="s">
        <v>138</v>
      </c>
      <c r="B43" s="112"/>
      <c r="C43" s="113"/>
      <c r="D43" s="14"/>
      <c r="E43" s="55" t="s">
        <v>126</v>
      </c>
      <c r="F43" s="55"/>
      <c r="G43" s="3"/>
      <c r="H43" s="3"/>
      <c r="J43" s="4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6" t="s">
        <v>3</v>
      </c>
      <c r="B44" s="7"/>
      <c r="C44" s="8"/>
      <c r="D44" s="3"/>
      <c r="E44" s="65" t="s">
        <v>20</v>
      </c>
      <c r="F44" s="65" t="s">
        <v>127</v>
      </c>
      <c r="G44" s="65" t="s">
        <v>128</v>
      </c>
      <c r="H44" s="65" t="s">
        <v>129</v>
      </c>
      <c r="I44" s="65" t="s">
        <v>87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14"/>
      <c r="B45" s="3"/>
      <c r="C45" s="8"/>
      <c r="D45" s="14"/>
      <c r="E45" s="66" t="s">
        <v>188</v>
      </c>
      <c r="F45" s="67">
        <v>960</v>
      </c>
      <c r="G45" s="68">
        <v>0</v>
      </c>
      <c r="H45" s="69" t="s">
        <v>131</v>
      </c>
      <c r="I45" s="68" t="s">
        <v>40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14" t="s">
        <v>34</v>
      </c>
      <c r="B46" s="3" t="s">
        <v>35</v>
      </c>
      <c r="C46" s="8" t="s">
        <v>36</v>
      </c>
      <c r="D46" s="14"/>
      <c r="E46" s="70" t="s">
        <v>190</v>
      </c>
      <c r="F46" s="67">
        <v>257</v>
      </c>
      <c r="G46" s="68" t="s">
        <v>915</v>
      </c>
      <c r="H46" s="69" t="s">
        <v>131</v>
      </c>
      <c r="I46" s="68" t="s">
        <v>916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8"/>
      <c r="D47" s="14"/>
      <c r="E47" s="70" t="s">
        <v>289</v>
      </c>
      <c r="F47" s="67">
        <v>198</v>
      </c>
      <c r="G47" s="68">
        <v>0</v>
      </c>
      <c r="H47" s="69" t="s">
        <v>131</v>
      </c>
      <c r="I47" s="68" t="s">
        <v>198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8"/>
      <c r="D48" s="14"/>
      <c r="E48" s="66" t="s">
        <v>194</v>
      </c>
      <c r="F48" s="71">
        <v>480</v>
      </c>
      <c r="G48" s="72"/>
      <c r="H48" s="69" t="s">
        <v>131</v>
      </c>
      <c r="I48" s="68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8"/>
      <c r="D49" s="14"/>
      <c r="E49" s="70" t="s">
        <v>917</v>
      </c>
      <c r="F49" s="71">
        <v>136</v>
      </c>
      <c r="G49" s="72"/>
      <c r="H49" s="69" t="s">
        <v>131</v>
      </c>
      <c r="I49" s="68"/>
      <c r="J49" s="4"/>
      <c r="K49" s="4"/>
      <c r="L49" s="4"/>
      <c r="M49" s="73"/>
      <c r="N49" s="18"/>
      <c r="O49" s="18"/>
      <c r="P49" s="17"/>
      <c r="Q49" s="74"/>
      <c r="R49" s="53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3"/>
      <c r="B50" s="16"/>
      <c r="C50" s="8"/>
      <c r="D50" s="14"/>
      <c r="E50" s="70" t="s">
        <v>294</v>
      </c>
      <c r="F50" s="71">
        <v>130</v>
      </c>
      <c r="G50" s="72"/>
      <c r="H50" s="69" t="s">
        <v>131</v>
      </c>
      <c r="I50" s="68" t="s">
        <v>191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8"/>
      <c r="D51" s="14"/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8"/>
      <c r="D52" s="14"/>
      <c r="E52" s="66"/>
      <c r="F52" s="4" t="s">
        <v>140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3" t="s">
        <v>74</v>
      </c>
      <c r="C53" s="8"/>
      <c r="D53" s="14"/>
      <c r="E53" s="70"/>
      <c r="F53" s="4" t="s">
        <v>141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40"/>
      <c r="B54" s="3" t="s">
        <v>75</v>
      </c>
      <c r="C54" s="27"/>
      <c r="D54" s="3"/>
      <c r="E54" s="75"/>
      <c r="F54" s="4" t="s">
        <v>142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79"/>
      <c r="B55" s="80" t="s">
        <v>77</v>
      </c>
      <c r="C55" s="81"/>
      <c r="D55" s="3"/>
      <c r="E55" s="76"/>
      <c r="F55" s="4" t="s">
        <v>143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2:L32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135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8</v>
      </c>
      <c r="G6" s="73">
        <v>46193</v>
      </c>
      <c r="H6" s="18">
        <v>7946</v>
      </c>
      <c r="I6" s="17" t="s">
        <v>28</v>
      </c>
      <c r="J6" s="4" t="s">
        <v>29</v>
      </c>
      <c r="K6" s="4" t="s">
        <v>918</v>
      </c>
      <c r="L6" s="17">
        <v>0</v>
      </c>
      <c r="M6" s="86"/>
      <c r="N6" s="18">
        <v>7946</v>
      </c>
      <c r="O6" s="17" t="s">
        <v>31</v>
      </c>
      <c r="P6" s="19">
        <f t="shared" ref="P6:P16" si="0">N6/H6</f>
        <v>1</v>
      </c>
      <c r="Q6" s="19">
        <v>0.09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7</v>
      </c>
      <c r="G7" s="73">
        <v>46192</v>
      </c>
      <c r="H7" s="18">
        <v>7380</v>
      </c>
      <c r="I7" s="17" t="s">
        <v>37</v>
      </c>
      <c r="J7" s="4" t="s">
        <v>38</v>
      </c>
      <c r="K7" s="4" t="s">
        <v>156</v>
      </c>
      <c r="L7" s="17"/>
      <c r="M7" s="17" t="s">
        <v>919</v>
      </c>
      <c r="N7" s="18">
        <v>7380</v>
      </c>
      <c r="O7" s="17" t="s">
        <v>31</v>
      </c>
      <c r="P7" s="19">
        <f t="shared" si="0"/>
        <v>1</v>
      </c>
      <c r="Q7" s="19">
        <v>0.08</v>
      </c>
      <c r="R7" s="4"/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123</v>
      </c>
      <c r="B8" s="18">
        <v>161000</v>
      </c>
      <c r="C8" s="95">
        <v>0.66</v>
      </c>
      <c r="D8" s="3"/>
      <c r="E8" s="60">
        <v>3</v>
      </c>
      <c r="F8" s="17">
        <v>6</v>
      </c>
      <c r="G8" s="73">
        <v>46191</v>
      </c>
      <c r="H8" s="18">
        <v>8670</v>
      </c>
      <c r="I8" s="17" t="s">
        <v>42</v>
      </c>
      <c r="J8" s="4" t="s">
        <v>43</v>
      </c>
      <c r="K8" s="4" t="s">
        <v>43</v>
      </c>
      <c r="L8" s="17"/>
      <c r="M8" s="17" t="s">
        <v>572</v>
      </c>
      <c r="N8" s="18">
        <v>7369</v>
      </c>
      <c r="O8" s="17" t="s">
        <v>31</v>
      </c>
      <c r="P8" s="19">
        <f t="shared" si="0"/>
        <v>0.84994232987312568</v>
      </c>
      <c r="Q8" s="19">
        <v>7.0000000000000007E-2</v>
      </c>
      <c r="R8" s="4" t="s">
        <v>920</v>
      </c>
      <c r="S8" s="17" t="s">
        <v>46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5</v>
      </c>
      <c r="G9" s="73">
        <v>46190</v>
      </c>
      <c r="H9" s="18">
        <v>9678</v>
      </c>
      <c r="I9" s="17" t="s">
        <v>154</v>
      </c>
      <c r="J9" s="4" t="s">
        <v>921</v>
      </c>
      <c r="K9" s="4" t="s">
        <v>922</v>
      </c>
      <c r="L9" s="17"/>
      <c r="M9" s="17" t="s">
        <v>923</v>
      </c>
      <c r="N9" s="18">
        <v>7403</v>
      </c>
      <c r="O9" s="17" t="s">
        <v>31</v>
      </c>
      <c r="P9" s="19">
        <f t="shared" si="0"/>
        <v>0.76493077082041749</v>
      </c>
      <c r="Q9" s="19">
        <v>0.08</v>
      </c>
      <c r="R9" s="4" t="s">
        <v>924</v>
      </c>
      <c r="S9" s="17" t="s">
        <v>51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4</v>
      </c>
      <c r="G10" s="73">
        <v>46189</v>
      </c>
      <c r="H10" s="18">
        <v>8662</v>
      </c>
      <c r="I10" s="17" t="s">
        <v>212</v>
      </c>
      <c r="J10" s="4" t="s">
        <v>925</v>
      </c>
      <c r="K10" s="4" t="s">
        <v>926</v>
      </c>
      <c r="L10" s="17"/>
      <c r="M10" s="17"/>
      <c r="N10" s="18">
        <v>6773</v>
      </c>
      <c r="O10" s="17" t="s">
        <v>31</v>
      </c>
      <c r="P10" s="19">
        <f t="shared" si="0"/>
        <v>0.7819210344031402</v>
      </c>
      <c r="Q10" s="19">
        <v>0.09</v>
      </c>
      <c r="R10" s="4" t="s">
        <v>685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0.98</v>
      </c>
      <c r="B11" s="18">
        <v>105000</v>
      </c>
      <c r="C11" s="92"/>
      <c r="D11" s="3"/>
      <c r="E11" s="60">
        <v>6</v>
      </c>
      <c r="F11" s="17">
        <v>3</v>
      </c>
      <c r="G11" s="73">
        <v>46188</v>
      </c>
      <c r="H11" s="18">
        <v>8797</v>
      </c>
      <c r="I11" s="17" t="s">
        <v>47</v>
      </c>
      <c r="J11" s="4" t="s">
        <v>927</v>
      </c>
      <c r="K11" s="4" t="s">
        <v>928</v>
      </c>
      <c r="L11" s="17"/>
      <c r="M11" s="17"/>
      <c r="N11" s="18">
        <v>5131</v>
      </c>
      <c r="O11" s="17" t="s">
        <v>31</v>
      </c>
      <c r="P11" s="19">
        <f t="shared" si="0"/>
        <v>0.58326702284869847</v>
      </c>
      <c r="Q11" s="19"/>
      <c r="R11" s="4" t="s">
        <v>929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2</v>
      </c>
      <c r="G12" s="73">
        <v>46187</v>
      </c>
      <c r="H12" s="18">
        <v>9393</v>
      </c>
      <c r="I12" s="17" t="s">
        <v>54</v>
      </c>
      <c r="J12" s="4" t="s">
        <v>930</v>
      </c>
      <c r="K12" s="4" t="s">
        <v>931</v>
      </c>
      <c r="L12" s="17"/>
      <c r="M12" s="85" t="s">
        <v>57</v>
      </c>
      <c r="N12" s="18">
        <v>6500</v>
      </c>
      <c r="O12" s="17" t="s">
        <v>31</v>
      </c>
      <c r="P12" s="19">
        <f t="shared" si="0"/>
        <v>0.69200468433940165</v>
      </c>
      <c r="Q12" s="19">
        <v>0.02</v>
      </c>
      <c r="R12" s="4" t="s">
        <v>932</v>
      </c>
      <c r="S12" s="17" t="s">
        <v>444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12885000</v>
      </c>
      <c r="D13" s="3"/>
      <c r="E13" s="60">
        <v>8</v>
      </c>
      <c r="F13" s="17">
        <v>1</v>
      </c>
      <c r="G13" s="73">
        <v>46186</v>
      </c>
      <c r="H13" s="18">
        <v>9453</v>
      </c>
      <c r="I13" s="17" t="s">
        <v>59</v>
      </c>
      <c r="J13" s="4" t="s">
        <v>933</v>
      </c>
      <c r="K13" s="4" t="s">
        <v>934</v>
      </c>
      <c r="L13" s="17"/>
      <c r="M13" s="85" t="s">
        <v>57</v>
      </c>
      <c r="N13" s="18">
        <v>6500</v>
      </c>
      <c r="O13" s="17" t="s">
        <v>31</v>
      </c>
      <c r="P13" s="19">
        <f t="shared" si="0"/>
        <v>0.68761239818047182</v>
      </c>
      <c r="Q13" s="19"/>
      <c r="R13" s="4" t="s">
        <v>935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10905000</v>
      </c>
      <c r="D14" s="3"/>
      <c r="E14" s="60">
        <v>9</v>
      </c>
      <c r="F14" s="17">
        <v>20</v>
      </c>
      <c r="G14" s="73">
        <v>46185</v>
      </c>
      <c r="H14" s="18">
        <v>9281</v>
      </c>
      <c r="I14" s="17" t="s">
        <v>64</v>
      </c>
      <c r="J14" s="4" t="s">
        <v>936</v>
      </c>
      <c r="K14" s="4" t="s">
        <v>937</v>
      </c>
      <c r="L14" s="17"/>
      <c r="M14" s="85" t="s">
        <v>57</v>
      </c>
      <c r="N14" s="18">
        <v>4000</v>
      </c>
      <c r="O14" s="17" t="s">
        <v>31</v>
      </c>
      <c r="P14" s="19">
        <f t="shared" si="0"/>
        <v>0.43098804008188774</v>
      </c>
      <c r="Q14" s="19">
        <v>0.03</v>
      </c>
      <c r="R14" s="4" t="s">
        <v>938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19</v>
      </c>
      <c r="G15" s="73">
        <v>46184</v>
      </c>
      <c r="H15" s="18">
        <v>9555</v>
      </c>
      <c r="I15" s="17" t="s">
        <v>69</v>
      </c>
      <c r="J15" s="4" t="s">
        <v>66</v>
      </c>
      <c r="K15" s="4"/>
      <c r="L15" s="17"/>
      <c r="M15" s="85" t="s">
        <v>57</v>
      </c>
      <c r="N15" s="18">
        <v>6500</v>
      </c>
      <c r="O15" s="17" t="s">
        <v>31</v>
      </c>
      <c r="P15" s="19">
        <f t="shared" si="0"/>
        <v>0.68027210884353739</v>
      </c>
      <c r="Q15" s="19"/>
      <c r="R15" s="4" t="s">
        <v>939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1500000</v>
      </c>
      <c r="D16" s="3"/>
      <c r="E16" s="60">
        <v>11</v>
      </c>
      <c r="F16" s="17">
        <v>18</v>
      </c>
      <c r="G16" s="73">
        <v>46183</v>
      </c>
      <c r="H16" s="18">
        <v>9352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6661</v>
      </c>
      <c r="O16" s="17" t="s">
        <v>31</v>
      </c>
      <c r="P16" s="19">
        <f t="shared" si="0"/>
        <v>0.7122540633019675</v>
      </c>
      <c r="Q16" s="19">
        <v>0.03</v>
      </c>
      <c r="R16" s="4" t="s">
        <v>940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5</v>
      </c>
      <c r="G21" s="45">
        <v>46193</v>
      </c>
      <c r="H21" s="46">
        <v>6661</v>
      </c>
      <c r="I21" s="46">
        <v>5995</v>
      </c>
      <c r="J21" s="44" t="s">
        <v>169</v>
      </c>
      <c r="K21" s="47">
        <v>0.71</v>
      </c>
      <c r="L21" s="48"/>
      <c r="M21" s="49"/>
      <c r="N21" s="50" t="s">
        <v>363</v>
      </c>
      <c r="O21" s="44" t="s">
        <v>556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4</v>
      </c>
      <c r="G22" s="45">
        <v>46192</v>
      </c>
      <c r="H22" s="46">
        <v>5737</v>
      </c>
      <c r="I22" s="46">
        <v>5163</v>
      </c>
      <c r="J22" s="44" t="s">
        <v>226</v>
      </c>
      <c r="K22" s="47">
        <v>0.61</v>
      </c>
      <c r="L22" s="48">
        <v>0.01</v>
      </c>
      <c r="M22" s="49" t="s">
        <v>941</v>
      </c>
      <c r="N22" s="50" t="s">
        <v>942</v>
      </c>
      <c r="O22" s="44" t="s">
        <v>943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13</v>
      </c>
      <c r="F23" s="44">
        <v>3</v>
      </c>
      <c r="G23" s="45">
        <v>46191</v>
      </c>
      <c r="H23" s="46">
        <v>7088</v>
      </c>
      <c r="I23" s="46">
        <v>6379</v>
      </c>
      <c r="J23" s="44" t="s">
        <v>88</v>
      </c>
      <c r="K23" s="47">
        <v>0.69</v>
      </c>
      <c r="L23" s="48">
        <v>0.01</v>
      </c>
      <c r="M23" s="49" t="s">
        <v>944</v>
      </c>
      <c r="N23" s="50" t="s">
        <v>317</v>
      </c>
      <c r="O23" s="44" t="s">
        <v>945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14</v>
      </c>
      <c r="F24" s="44">
        <v>2</v>
      </c>
      <c r="G24" s="45">
        <v>46190</v>
      </c>
      <c r="H24" s="46">
        <v>5530</v>
      </c>
      <c r="I24" s="46">
        <v>4977</v>
      </c>
      <c r="J24" s="44" t="s">
        <v>92</v>
      </c>
      <c r="K24" s="47">
        <v>0.72</v>
      </c>
      <c r="L24" s="48"/>
      <c r="M24" s="49" t="s">
        <v>946</v>
      </c>
      <c r="N24" s="50" t="s">
        <v>320</v>
      </c>
      <c r="O24" s="44" t="s">
        <v>947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15</v>
      </c>
      <c r="F25" s="44">
        <v>1</v>
      </c>
      <c r="G25" s="45">
        <v>46189</v>
      </c>
      <c r="H25" s="46">
        <v>5556</v>
      </c>
      <c r="I25" s="46">
        <v>5000</v>
      </c>
      <c r="J25" s="44" t="s">
        <v>96</v>
      </c>
      <c r="K25" s="47">
        <v>0.68</v>
      </c>
      <c r="L25" s="48"/>
      <c r="M25" s="49" t="s">
        <v>948</v>
      </c>
      <c r="N25" s="50" t="s">
        <v>745</v>
      </c>
      <c r="O25" s="44" t="s">
        <v>949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16</v>
      </c>
      <c r="F26" s="44">
        <v>17</v>
      </c>
      <c r="G26" s="45">
        <v>46188</v>
      </c>
      <c r="H26" s="46">
        <v>4319</v>
      </c>
      <c r="I26" s="46">
        <v>3887</v>
      </c>
      <c r="J26" s="44" t="s">
        <v>102</v>
      </c>
      <c r="K26" s="47">
        <v>0.53</v>
      </c>
      <c r="L26" s="48"/>
      <c r="M26" s="49" t="s">
        <v>950</v>
      </c>
      <c r="N26" s="50" t="s">
        <v>951</v>
      </c>
      <c r="O26" s="44" t="s">
        <v>630</v>
      </c>
      <c r="P26" s="46"/>
      <c r="Q26" s="51"/>
      <c r="R26" s="46" t="s">
        <v>100</v>
      </c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17</v>
      </c>
      <c r="F27" s="44">
        <v>16</v>
      </c>
      <c r="G27" s="45">
        <v>46187</v>
      </c>
      <c r="H27" s="46">
        <v>5499</v>
      </c>
      <c r="I27" s="46">
        <v>4949</v>
      </c>
      <c r="J27" s="44" t="s">
        <v>107</v>
      </c>
      <c r="K27" s="47">
        <v>0.81</v>
      </c>
      <c r="L27" s="88"/>
      <c r="M27" s="49" t="s">
        <v>952</v>
      </c>
      <c r="N27" s="50" t="s">
        <v>565</v>
      </c>
      <c r="O27" s="44" t="s">
        <v>953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18</v>
      </c>
      <c r="F28" s="44">
        <v>15</v>
      </c>
      <c r="G28" s="45">
        <v>46186</v>
      </c>
      <c r="H28" s="46">
        <v>6342</v>
      </c>
      <c r="I28" s="46">
        <v>5707</v>
      </c>
      <c r="J28" s="44" t="s">
        <v>282</v>
      </c>
      <c r="K28" s="47">
        <v>0.77</v>
      </c>
      <c r="L28" s="88"/>
      <c r="M28" s="49" t="s">
        <v>954</v>
      </c>
      <c r="N28" s="50" t="s">
        <v>871</v>
      </c>
      <c r="O28" s="44" t="s">
        <v>955</v>
      </c>
      <c r="P28" s="46"/>
      <c r="Q28" s="52"/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19</v>
      </c>
      <c r="F29" s="44">
        <v>14</v>
      </c>
      <c r="G29" s="45">
        <v>46185</v>
      </c>
      <c r="H29" s="46">
        <v>6155</v>
      </c>
      <c r="I29" s="46">
        <v>5540</v>
      </c>
      <c r="J29" s="44" t="s">
        <v>331</v>
      </c>
      <c r="K29" s="47">
        <v>0.74</v>
      </c>
      <c r="L29" s="48"/>
      <c r="M29" s="49" t="s">
        <v>956</v>
      </c>
      <c r="N29" s="50" t="s">
        <v>957</v>
      </c>
      <c r="O29" s="44" t="s">
        <v>958</v>
      </c>
      <c r="P29" s="46">
        <v>5480</v>
      </c>
      <c r="Q29" s="52">
        <f t="shared" ref="Q29:Q31" si="1">P29/H29</f>
        <v>0.89033306255077171</v>
      </c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E30" s="44">
        <v>20</v>
      </c>
      <c r="F30" s="44">
        <v>12</v>
      </c>
      <c r="G30" s="45">
        <v>46184</v>
      </c>
      <c r="H30" s="46">
        <v>3676</v>
      </c>
      <c r="I30" s="46">
        <v>3309</v>
      </c>
      <c r="J30" s="44" t="s">
        <v>385</v>
      </c>
      <c r="K30" s="47">
        <v>0.49</v>
      </c>
      <c r="L30" s="88"/>
      <c r="M30" s="49"/>
      <c r="N30" s="50" t="s">
        <v>381</v>
      </c>
      <c r="O30" s="44" t="s">
        <v>381</v>
      </c>
      <c r="P30" s="46">
        <v>2660</v>
      </c>
      <c r="Q30" s="52">
        <f t="shared" si="1"/>
        <v>0.72361262241566926</v>
      </c>
      <c r="R30" s="46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E31" s="44">
        <v>21</v>
      </c>
      <c r="F31" s="44">
        <v>10</v>
      </c>
      <c r="G31" s="45">
        <v>46183</v>
      </c>
      <c r="H31" s="46">
        <v>3542</v>
      </c>
      <c r="I31" s="46">
        <v>3188</v>
      </c>
      <c r="J31" s="44" t="s">
        <v>424</v>
      </c>
      <c r="K31" s="47">
        <v>0.76</v>
      </c>
      <c r="L31" s="48"/>
      <c r="M31" s="49"/>
      <c r="N31" s="50" t="s">
        <v>959</v>
      </c>
      <c r="O31" s="44" t="s">
        <v>960</v>
      </c>
      <c r="P31" s="46">
        <v>2878</v>
      </c>
      <c r="Q31" s="52">
        <f t="shared" si="1"/>
        <v>0.81253529079616038</v>
      </c>
      <c r="R31" s="46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55" t="s">
        <v>110</v>
      </c>
      <c r="I36" s="56" t="s">
        <v>76</v>
      </c>
      <c r="J36" s="105" t="s">
        <v>111</v>
      </c>
      <c r="K36" s="106"/>
      <c r="L36" s="107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58" t="s">
        <v>112</v>
      </c>
      <c r="F37" s="89"/>
      <c r="G37" s="17" t="s">
        <v>961</v>
      </c>
      <c r="H37" s="4"/>
      <c r="I37" s="3"/>
      <c r="J37" s="59" t="s">
        <v>114</v>
      </c>
      <c r="K37" s="59" t="s">
        <v>115</v>
      </c>
      <c r="L37" s="59" t="s">
        <v>116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3"/>
      <c r="F38" s="42"/>
      <c r="G38" s="17"/>
      <c r="H38" s="3"/>
      <c r="I38" s="3"/>
      <c r="J38" s="3" t="s">
        <v>117</v>
      </c>
      <c r="K38" s="53"/>
      <c r="L38" s="53">
        <v>7.0000000000000007E-2</v>
      </c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3" t="s">
        <v>118</v>
      </c>
      <c r="F39" s="17"/>
      <c r="G39" s="89"/>
      <c r="H39" s="3"/>
      <c r="I39" s="3"/>
      <c r="J39" s="3"/>
      <c r="K39" s="4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17" t="s">
        <v>119</v>
      </c>
      <c r="F40" s="17">
        <v>0</v>
      </c>
      <c r="G40" s="17"/>
      <c r="H40" s="3"/>
      <c r="I40" s="3"/>
      <c r="J40" s="3" t="s">
        <v>120</v>
      </c>
      <c r="K40" s="53"/>
      <c r="L40" s="3" t="s">
        <v>335</v>
      </c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17" t="s">
        <v>122</v>
      </c>
      <c r="F41" s="17">
        <v>0</v>
      </c>
      <c r="G41" s="17"/>
      <c r="H41" s="53"/>
      <c r="I41" s="3"/>
      <c r="J41" s="3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5"/>
      <c r="F42" s="17"/>
      <c r="G42" s="17"/>
      <c r="H42" s="53"/>
      <c r="I42" s="3"/>
      <c r="J42" s="3"/>
      <c r="K42" s="3"/>
      <c r="L42" s="4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55" t="s">
        <v>123</v>
      </c>
      <c r="F43" s="17"/>
      <c r="G43" s="17"/>
      <c r="H43" s="53"/>
      <c r="I43" s="3"/>
      <c r="J43" s="3"/>
      <c r="K43" s="17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61" t="s">
        <v>124</v>
      </c>
      <c r="F44" s="17">
        <v>0</v>
      </c>
      <c r="G44" s="17"/>
      <c r="H44" s="3"/>
      <c r="I44" s="3"/>
      <c r="J44" s="62"/>
      <c r="K44" s="17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61" t="s">
        <v>125</v>
      </c>
      <c r="F45" s="17">
        <v>0</v>
      </c>
      <c r="G45" s="17"/>
      <c r="H45" s="3"/>
      <c r="I45" s="3"/>
      <c r="J45" s="63"/>
      <c r="K45" s="17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3"/>
      <c r="F46" s="3"/>
      <c r="G46" s="3"/>
      <c r="H46" s="3"/>
      <c r="I46" s="3"/>
      <c r="J46" s="64"/>
      <c r="K46" s="17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55" t="s">
        <v>126</v>
      </c>
      <c r="F47" s="55"/>
      <c r="G47" s="3"/>
      <c r="H47" s="3"/>
      <c r="J47" s="4"/>
      <c r="K47" s="17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65" t="s">
        <v>20</v>
      </c>
      <c r="F48" s="65" t="s">
        <v>127</v>
      </c>
      <c r="G48" s="65" t="s">
        <v>128</v>
      </c>
      <c r="H48" s="65" t="s">
        <v>129</v>
      </c>
      <c r="I48" s="65" t="s">
        <v>87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66" t="s">
        <v>241</v>
      </c>
      <c r="F49" s="67">
        <v>960</v>
      </c>
      <c r="G49" s="68">
        <v>0</v>
      </c>
      <c r="H49" s="69" t="s">
        <v>131</v>
      </c>
      <c r="I49" s="68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242</v>
      </c>
      <c r="F50" s="67">
        <v>260</v>
      </c>
      <c r="G50" s="68">
        <v>0</v>
      </c>
      <c r="H50" s="69" t="s">
        <v>131</v>
      </c>
      <c r="I50" s="68" t="s">
        <v>962</v>
      </c>
      <c r="J50" s="4"/>
      <c r="K50" s="4"/>
      <c r="L50" s="4"/>
      <c r="M50" s="73"/>
      <c r="N50" s="18"/>
      <c r="O50" s="18"/>
      <c r="P50" s="17"/>
      <c r="Q50" s="74"/>
      <c r="R50" s="53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340</v>
      </c>
      <c r="F51" s="67">
        <v>172</v>
      </c>
      <c r="G51" s="68">
        <v>0</v>
      </c>
      <c r="H51" s="69" t="s">
        <v>131</v>
      </c>
      <c r="I51" s="68" t="s">
        <v>133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66" t="s">
        <v>244</v>
      </c>
      <c r="F52" s="71">
        <v>320</v>
      </c>
      <c r="G52" s="72"/>
      <c r="H52" s="69" t="s">
        <v>131</v>
      </c>
      <c r="I52" s="6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70" t="s">
        <v>963</v>
      </c>
      <c r="F53" s="71">
        <v>114</v>
      </c>
      <c r="G53" s="72"/>
      <c r="H53" s="69" t="s">
        <v>131</v>
      </c>
      <c r="I53" s="68" t="s">
        <v>964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70" t="s">
        <v>344</v>
      </c>
      <c r="F54" s="71">
        <v>138</v>
      </c>
      <c r="G54" s="72"/>
      <c r="H54" s="69" t="s">
        <v>131</v>
      </c>
      <c r="I54" s="68" t="s">
        <v>965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66"/>
      <c r="F56" s="4" t="s">
        <v>140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E57" s="70"/>
      <c r="F57" s="4" t="s">
        <v>141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E58" s="75"/>
      <c r="F58" s="4" t="s">
        <v>142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E59" s="76"/>
      <c r="F59" s="4" t="s">
        <v>143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E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J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K170" s="4"/>
      <c r="L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N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6:L36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144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9</v>
      </c>
      <c r="G6" s="73">
        <v>46194</v>
      </c>
      <c r="H6" s="18">
        <v>7623</v>
      </c>
      <c r="I6" s="17" t="s">
        <v>28</v>
      </c>
      <c r="J6" s="4" t="s">
        <v>29</v>
      </c>
      <c r="K6" s="4" t="s">
        <v>966</v>
      </c>
      <c r="L6" s="17">
        <v>0</v>
      </c>
      <c r="M6" s="86"/>
      <c r="N6" s="18">
        <v>7623</v>
      </c>
      <c r="O6" s="17" t="s">
        <v>31</v>
      </c>
      <c r="P6" s="19">
        <f t="shared" ref="P6:P16" si="0">N6/H6</f>
        <v>1</v>
      </c>
      <c r="Q6" s="19">
        <v>0.13</v>
      </c>
      <c r="R6" s="4"/>
      <c r="S6" s="17" t="s">
        <v>201</v>
      </c>
      <c r="T6" s="17" t="s">
        <v>967</v>
      </c>
      <c r="U6" s="17" t="s">
        <v>967</v>
      </c>
      <c r="V6" s="17" t="s">
        <v>967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8</v>
      </c>
      <c r="G7" s="73">
        <v>46193</v>
      </c>
      <c r="H7" s="18">
        <v>7946</v>
      </c>
      <c r="I7" s="17" t="s">
        <v>37</v>
      </c>
      <c r="J7" s="4" t="s">
        <v>38</v>
      </c>
      <c r="K7" s="4" t="s">
        <v>968</v>
      </c>
      <c r="L7" s="17"/>
      <c r="M7" s="17" t="s">
        <v>969</v>
      </c>
      <c r="N7" s="18">
        <v>7946</v>
      </c>
      <c r="O7" s="17" t="s">
        <v>31</v>
      </c>
      <c r="P7" s="19">
        <f t="shared" si="0"/>
        <v>1</v>
      </c>
      <c r="Q7" s="19">
        <v>0.1</v>
      </c>
      <c r="R7" s="4" t="s">
        <v>40</v>
      </c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133</v>
      </c>
      <c r="B8" s="18">
        <v>161000</v>
      </c>
      <c r="C8" s="95">
        <v>0.65</v>
      </c>
      <c r="D8" s="3"/>
      <c r="E8" s="60">
        <v>3</v>
      </c>
      <c r="F8" s="17">
        <v>7</v>
      </c>
      <c r="G8" s="73">
        <v>46192</v>
      </c>
      <c r="H8" s="18">
        <v>7380</v>
      </c>
      <c r="I8" s="17" t="s">
        <v>42</v>
      </c>
      <c r="J8" s="4" t="s">
        <v>970</v>
      </c>
      <c r="K8" s="4" t="s">
        <v>43</v>
      </c>
      <c r="L8" s="17"/>
      <c r="M8" s="17" t="s">
        <v>971</v>
      </c>
      <c r="N8" s="18">
        <v>6494</v>
      </c>
      <c r="O8" s="17" t="s">
        <v>31</v>
      </c>
      <c r="P8" s="19">
        <f t="shared" si="0"/>
        <v>0.87994579945799456</v>
      </c>
      <c r="Q8" s="19">
        <v>7.0000000000000007E-2</v>
      </c>
      <c r="R8" s="4" t="s">
        <v>157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6</v>
      </c>
      <c r="G9" s="73">
        <v>46191</v>
      </c>
      <c r="H9" s="18">
        <v>8670</v>
      </c>
      <c r="I9" s="17" t="s">
        <v>154</v>
      </c>
      <c r="J9" s="4" t="s">
        <v>972</v>
      </c>
      <c r="K9" s="4" t="s">
        <v>973</v>
      </c>
      <c r="L9" s="17"/>
      <c r="M9" s="17" t="s">
        <v>642</v>
      </c>
      <c r="N9" s="18">
        <v>6484</v>
      </c>
      <c r="O9" s="17" t="s">
        <v>31</v>
      </c>
      <c r="P9" s="19">
        <f t="shared" si="0"/>
        <v>0.74786620530565162</v>
      </c>
      <c r="Q9" s="19">
        <v>0.05</v>
      </c>
      <c r="R9" s="4" t="s">
        <v>211</v>
      </c>
      <c r="S9" s="17" t="s">
        <v>207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5</v>
      </c>
      <c r="G10" s="73">
        <v>46190</v>
      </c>
      <c r="H10" s="18">
        <v>9678</v>
      </c>
      <c r="I10" s="17" t="s">
        <v>212</v>
      </c>
      <c r="J10" s="4" t="s">
        <v>974</v>
      </c>
      <c r="K10" s="4" t="s">
        <v>975</v>
      </c>
      <c r="L10" s="17"/>
      <c r="M10" s="17"/>
      <c r="N10" s="18">
        <v>6514</v>
      </c>
      <c r="O10" s="17" t="s">
        <v>31</v>
      </c>
      <c r="P10" s="19">
        <f t="shared" si="0"/>
        <v>0.67307294895639591</v>
      </c>
      <c r="Q10" s="19">
        <v>0.12</v>
      </c>
      <c r="R10" s="4" t="s">
        <v>211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0.92</v>
      </c>
      <c r="B11" s="18">
        <v>97000</v>
      </c>
      <c r="C11" s="92"/>
      <c r="D11" s="3"/>
      <c r="E11" s="60">
        <v>6</v>
      </c>
      <c r="F11" s="17">
        <v>4</v>
      </c>
      <c r="G11" s="73">
        <v>46189</v>
      </c>
      <c r="H11" s="18">
        <v>8662</v>
      </c>
      <c r="I11" s="17" t="s">
        <v>47</v>
      </c>
      <c r="J11" s="4" t="s">
        <v>976</v>
      </c>
      <c r="K11" s="4" t="s">
        <v>977</v>
      </c>
      <c r="L11" s="17"/>
      <c r="M11" s="17"/>
      <c r="N11" s="18">
        <v>6540</v>
      </c>
      <c r="O11" s="17" t="s">
        <v>31</v>
      </c>
      <c r="P11" s="19">
        <f t="shared" si="0"/>
        <v>0.75502193488801661</v>
      </c>
      <c r="Q11" s="19">
        <v>0.05</v>
      </c>
      <c r="R11" s="4" t="s">
        <v>978</v>
      </c>
      <c r="S11" s="17" t="s">
        <v>51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3</v>
      </c>
      <c r="G12" s="73">
        <v>46188</v>
      </c>
      <c r="H12" s="18">
        <v>8797</v>
      </c>
      <c r="I12" s="17" t="s">
        <v>54</v>
      </c>
      <c r="J12" s="4" t="s">
        <v>979</v>
      </c>
      <c r="K12" s="4" t="s">
        <v>980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0.56837558258497212</v>
      </c>
      <c r="Q12" s="19">
        <v>0.05</v>
      </c>
      <c r="R12" s="4" t="s">
        <v>981</v>
      </c>
      <c r="S12" s="17" t="s">
        <v>444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12866250</v>
      </c>
      <c r="D13" s="3"/>
      <c r="E13" s="60">
        <v>8</v>
      </c>
      <c r="F13" s="17">
        <v>2</v>
      </c>
      <c r="G13" s="73">
        <v>46187</v>
      </c>
      <c r="H13" s="18">
        <v>9393</v>
      </c>
      <c r="I13" s="17" t="s">
        <v>59</v>
      </c>
      <c r="J13" s="4" t="s">
        <v>982</v>
      </c>
      <c r="K13" s="4" t="s">
        <v>983</v>
      </c>
      <c r="L13" s="17"/>
      <c r="M13" s="85" t="s">
        <v>57</v>
      </c>
      <c r="N13" s="18">
        <v>6500</v>
      </c>
      <c r="O13" s="17" t="s">
        <v>31</v>
      </c>
      <c r="P13" s="19">
        <f t="shared" si="0"/>
        <v>0.69200468433940165</v>
      </c>
      <c r="Q13" s="19">
        <v>0.04</v>
      </c>
      <c r="R13" s="4" t="s">
        <v>984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10196250</v>
      </c>
      <c r="D14" s="3"/>
      <c r="E14" s="60">
        <v>9</v>
      </c>
      <c r="F14" s="17">
        <v>1</v>
      </c>
      <c r="G14" s="73">
        <v>46186</v>
      </c>
      <c r="H14" s="18">
        <v>9453</v>
      </c>
      <c r="I14" s="17" t="s">
        <v>64</v>
      </c>
      <c r="J14" s="4" t="s">
        <v>520</v>
      </c>
      <c r="K14" s="4" t="s">
        <v>66</v>
      </c>
      <c r="L14" s="17"/>
      <c r="M14" s="85" t="s">
        <v>57</v>
      </c>
      <c r="N14" s="18">
        <v>6500</v>
      </c>
      <c r="O14" s="17" t="s">
        <v>31</v>
      </c>
      <c r="P14" s="19">
        <f t="shared" si="0"/>
        <v>0.68761239818047182</v>
      </c>
      <c r="Q14" s="19"/>
      <c r="R14" s="4" t="s">
        <v>985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20</v>
      </c>
      <c r="G15" s="73">
        <v>46185</v>
      </c>
      <c r="H15" s="18">
        <v>9281</v>
      </c>
      <c r="I15" s="17" t="s">
        <v>69</v>
      </c>
      <c r="J15" s="4" t="s">
        <v>986</v>
      </c>
      <c r="K15" s="4" t="s">
        <v>987</v>
      </c>
      <c r="L15" s="17"/>
      <c r="M15" s="85" t="s">
        <v>57</v>
      </c>
      <c r="N15" s="18">
        <v>4000</v>
      </c>
      <c r="O15" s="17" t="s">
        <v>31</v>
      </c>
      <c r="P15" s="19">
        <f t="shared" si="0"/>
        <v>0.43098804008188774</v>
      </c>
      <c r="Q15" s="19"/>
      <c r="R15" s="4" t="s">
        <v>988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2500000</v>
      </c>
      <c r="D16" s="3"/>
      <c r="E16" s="60">
        <v>11</v>
      </c>
      <c r="F16" s="17">
        <v>19</v>
      </c>
      <c r="G16" s="73">
        <v>46184</v>
      </c>
      <c r="H16" s="18">
        <v>9555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6500</v>
      </c>
      <c r="O16" s="17" t="s">
        <v>31</v>
      </c>
      <c r="P16" s="19">
        <f t="shared" si="0"/>
        <v>0.68027210884353739</v>
      </c>
      <c r="Q16" s="19"/>
      <c r="R16" s="4" t="s">
        <v>989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6</v>
      </c>
      <c r="G21" s="45">
        <v>46194</v>
      </c>
      <c r="H21" s="46">
        <v>6528</v>
      </c>
      <c r="I21" s="46">
        <v>5875</v>
      </c>
      <c r="J21" s="44" t="s">
        <v>169</v>
      </c>
      <c r="K21" s="47">
        <v>0.68</v>
      </c>
      <c r="L21" s="48"/>
      <c r="M21" s="49"/>
      <c r="N21" s="50" t="s">
        <v>491</v>
      </c>
      <c r="O21" s="44" t="s">
        <v>990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5</v>
      </c>
      <c r="G22" s="45">
        <v>46193</v>
      </c>
      <c r="H22" s="46">
        <v>6661</v>
      </c>
      <c r="I22" s="46">
        <v>5995</v>
      </c>
      <c r="J22" s="44" t="s">
        <v>226</v>
      </c>
      <c r="K22" s="47">
        <v>0.71</v>
      </c>
      <c r="L22" s="48">
        <v>0.02</v>
      </c>
      <c r="M22" s="49" t="s">
        <v>991</v>
      </c>
      <c r="N22" s="50" t="s">
        <v>528</v>
      </c>
      <c r="O22" s="44" t="s">
        <v>992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13</v>
      </c>
      <c r="F23" s="44">
        <v>4</v>
      </c>
      <c r="G23" s="45">
        <v>46192</v>
      </c>
      <c r="H23" s="46">
        <v>5737</v>
      </c>
      <c r="I23" s="46">
        <v>5163</v>
      </c>
      <c r="J23" s="44" t="s">
        <v>88</v>
      </c>
      <c r="K23" s="47">
        <v>0.61</v>
      </c>
      <c r="L23" s="48"/>
      <c r="M23" s="49" t="s">
        <v>993</v>
      </c>
      <c r="N23" s="50" t="s">
        <v>994</v>
      </c>
      <c r="O23" s="44" t="s">
        <v>995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14</v>
      </c>
      <c r="F24" s="44">
        <v>3</v>
      </c>
      <c r="G24" s="45">
        <v>46191</v>
      </c>
      <c r="H24" s="46">
        <v>7088</v>
      </c>
      <c r="I24" s="46">
        <v>6379</v>
      </c>
      <c r="J24" s="44" t="s">
        <v>92</v>
      </c>
      <c r="K24" s="47">
        <v>0.69</v>
      </c>
      <c r="L24" s="48"/>
      <c r="M24" s="49" t="s">
        <v>996</v>
      </c>
      <c r="N24" s="50" t="s">
        <v>176</v>
      </c>
      <c r="O24" s="44" t="s">
        <v>997</v>
      </c>
      <c r="P24" s="46"/>
      <c r="Q24" s="51"/>
      <c r="R24" s="46" t="s">
        <v>100</v>
      </c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15</v>
      </c>
      <c r="F25" s="44">
        <v>2</v>
      </c>
      <c r="G25" s="45">
        <v>46190</v>
      </c>
      <c r="H25" s="46">
        <v>5530</v>
      </c>
      <c r="I25" s="46">
        <v>4977</v>
      </c>
      <c r="J25" s="44" t="s">
        <v>96</v>
      </c>
      <c r="K25" s="47">
        <v>0.72</v>
      </c>
      <c r="L25" s="48">
        <v>0.01</v>
      </c>
      <c r="M25" s="49" t="s">
        <v>998</v>
      </c>
      <c r="N25" s="50" t="s">
        <v>232</v>
      </c>
      <c r="O25" s="44" t="s">
        <v>995</v>
      </c>
      <c r="P25" s="46"/>
      <c r="Q25" s="51"/>
      <c r="R25" s="46" t="s">
        <v>100</v>
      </c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16</v>
      </c>
      <c r="F26" s="44">
        <v>1</v>
      </c>
      <c r="G26" s="45">
        <v>46189</v>
      </c>
      <c r="H26" s="46">
        <v>5556</v>
      </c>
      <c r="I26" s="46">
        <v>5000</v>
      </c>
      <c r="J26" s="44" t="s">
        <v>102</v>
      </c>
      <c r="K26" s="47">
        <v>0.68</v>
      </c>
      <c r="L26" s="48"/>
      <c r="M26" s="49" t="s">
        <v>999</v>
      </c>
      <c r="N26" s="50" t="s">
        <v>179</v>
      </c>
      <c r="O26" s="44" t="s">
        <v>1000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17</v>
      </c>
      <c r="F27" s="44">
        <v>17</v>
      </c>
      <c r="G27" s="45">
        <v>46188</v>
      </c>
      <c r="H27" s="46">
        <v>4319</v>
      </c>
      <c r="I27" s="46">
        <v>3887</v>
      </c>
      <c r="J27" s="44" t="s">
        <v>107</v>
      </c>
      <c r="K27" s="47">
        <v>0.53</v>
      </c>
      <c r="L27" s="88"/>
      <c r="M27" s="49" t="s">
        <v>1001</v>
      </c>
      <c r="N27" s="50" t="s">
        <v>753</v>
      </c>
      <c r="O27" s="44" t="s">
        <v>1002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18</v>
      </c>
      <c r="F28" s="44">
        <v>16</v>
      </c>
      <c r="G28" s="45">
        <v>46187</v>
      </c>
      <c r="H28" s="46">
        <v>5499</v>
      </c>
      <c r="I28" s="46">
        <v>4949</v>
      </c>
      <c r="J28" s="44" t="s">
        <v>282</v>
      </c>
      <c r="K28" s="47">
        <v>0.81</v>
      </c>
      <c r="L28" s="88"/>
      <c r="M28" s="49" t="s">
        <v>1003</v>
      </c>
      <c r="N28" s="50" t="s">
        <v>91</v>
      </c>
      <c r="O28" s="44" t="s">
        <v>1004</v>
      </c>
      <c r="P28" s="46">
        <v>3949</v>
      </c>
      <c r="Q28" s="52">
        <f t="shared" ref="Q28:Q29" si="1">P28/H28</f>
        <v>0.71813056919439899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19</v>
      </c>
      <c r="F29" s="44">
        <v>15</v>
      </c>
      <c r="G29" s="45">
        <v>46186</v>
      </c>
      <c r="H29" s="46">
        <v>6342</v>
      </c>
      <c r="I29" s="46">
        <v>5707</v>
      </c>
      <c r="J29" s="44" t="s">
        <v>331</v>
      </c>
      <c r="K29" s="47">
        <v>0.77</v>
      </c>
      <c r="L29" s="48"/>
      <c r="M29" s="49" t="s">
        <v>1005</v>
      </c>
      <c r="N29" s="50" t="s">
        <v>1006</v>
      </c>
      <c r="O29" s="44" t="s">
        <v>787</v>
      </c>
      <c r="P29" s="46">
        <v>5077</v>
      </c>
      <c r="Q29" s="52">
        <f t="shared" si="1"/>
        <v>0.80053610848312839</v>
      </c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5" t="s">
        <v>110</v>
      </c>
      <c r="I34" s="56" t="s">
        <v>76</v>
      </c>
      <c r="J34" s="105" t="s">
        <v>111</v>
      </c>
      <c r="K34" s="106"/>
      <c r="L34" s="107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58" t="s">
        <v>112</v>
      </c>
      <c r="F35" s="89"/>
      <c r="G35" s="17" t="s">
        <v>151</v>
      </c>
      <c r="H35" s="4"/>
      <c r="I35" s="3"/>
      <c r="J35" s="59" t="s">
        <v>114</v>
      </c>
      <c r="K35" s="59" t="s">
        <v>115</v>
      </c>
      <c r="L35" s="59" t="s">
        <v>116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/>
      <c r="F36" s="42"/>
      <c r="G36" s="17"/>
      <c r="H36" s="3"/>
      <c r="I36" s="3"/>
      <c r="J36" s="3" t="s">
        <v>117</v>
      </c>
      <c r="K36" s="53"/>
      <c r="L36" s="53">
        <v>0.09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3" t="s">
        <v>118</v>
      </c>
      <c r="F37" s="17"/>
      <c r="G37" s="89"/>
      <c r="H37" s="3"/>
      <c r="I37" s="3"/>
      <c r="J37" s="3"/>
      <c r="K37" s="4"/>
      <c r="L37" s="53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119</v>
      </c>
      <c r="F38" s="17">
        <v>0</v>
      </c>
      <c r="G38" s="17"/>
      <c r="H38" s="3"/>
      <c r="I38" s="3"/>
      <c r="J38" s="3" t="s">
        <v>120</v>
      </c>
      <c r="K38" s="53"/>
      <c r="L38" s="53">
        <v>0.05</v>
      </c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17" t="s">
        <v>122</v>
      </c>
      <c r="F39" s="17">
        <v>0</v>
      </c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"/>
      <c r="F40" s="17"/>
      <c r="G40" s="17"/>
      <c r="H40" s="53"/>
      <c r="I40" s="3"/>
      <c r="J40" s="3"/>
      <c r="K40" s="3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55" t="s">
        <v>123</v>
      </c>
      <c r="F41" s="17"/>
      <c r="G41" s="17"/>
      <c r="H41" s="53"/>
      <c r="I41" s="3"/>
      <c r="J41" s="3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124</v>
      </c>
      <c r="F42" s="17">
        <v>0</v>
      </c>
      <c r="G42" s="17"/>
      <c r="H42" s="3"/>
      <c r="I42" s="3"/>
      <c r="J42" s="62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61" t="s">
        <v>125</v>
      </c>
      <c r="F43" s="17">
        <v>0</v>
      </c>
      <c r="G43" s="17"/>
      <c r="H43" s="3"/>
      <c r="I43" s="3"/>
      <c r="J43" s="63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3"/>
      <c r="F44" s="3"/>
      <c r="G44" s="3"/>
      <c r="H44" s="3"/>
      <c r="I44" s="3"/>
      <c r="J44" s="6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55" t="s">
        <v>126</v>
      </c>
      <c r="F45" s="55"/>
      <c r="G45" s="3"/>
      <c r="H45" s="3"/>
      <c r="J45" s="4"/>
      <c r="K45" s="17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5" t="s">
        <v>20</v>
      </c>
      <c r="F46" s="65" t="s">
        <v>127</v>
      </c>
      <c r="G46" s="65" t="s">
        <v>128</v>
      </c>
      <c r="H46" s="65" t="s">
        <v>129</v>
      </c>
      <c r="I46" s="65" t="s">
        <v>87</v>
      </c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66" t="s">
        <v>287</v>
      </c>
      <c r="F47" s="67">
        <v>1120</v>
      </c>
      <c r="G47" s="68">
        <v>0</v>
      </c>
      <c r="H47" s="69" t="s">
        <v>131</v>
      </c>
      <c r="I47" s="68"/>
      <c r="J47" s="4"/>
      <c r="K47" s="4"/>
      <c r="L47" s="53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288</v>
      </c>
      <c r="F48" s="67">
        <v>186</v>
      </c>
      <c r="G48" s="68">
        <v>0</v>
      </c>
      <c r="H48" s="69" t="s">
        <v>131</v>
      </c>
      <c r="I48" s="68" t="s">
        <v>193</v>
      </c>
      <c r="J48" s="4"/>
      <c r="K48" s="4"/>
      <c r="L48" s="53"/>
      <c r="M48" s="73"/>
      <c r="N48" s="18"/>
      <c r="O48" s="18"/>
      <c r="P48" s="17"/>
      <c r="Q48" s="74"/>
      <c r="R48" s="53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70" t="s">
        <v>391</v>
      </c>
      <c r="F49" s="67">
        <v>165</v>
      </c>
      <c r="G49" s="68">
        <v>0</v>
      </c>
      <c r="H49" s="69" t="s">
        <v>131</v>
      </c>
      <c r="I49" s="68" t="s">
        <v>198</v>
      </c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66" t="s">
        <v>291</v>
      </c>
      <c r="F50" s="71">
        <v>320</v>
      </c>
      <c r="G50" s="72"/>
      <c r="H50" s="69" t="s">
        <v>131</v>
      </c>
      <c r="I50" s="68"/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1007</v>
      </c>
      <c r="F51" s="71">
        <v>122</v>
      </c>
      <c r="G51" s="72"/>
      <c r="H51" s="69" t="s">
        <v>131</v>
      </c>
      <c r="I51" s="68" t="s">
        <v>198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70" t="s">
        <v>394</v>
      </c>
      <c r="F52" s="71">
        <v>112</v>
      </c>
      <c r="G52" s="72"/>
      <c r="H52" s="69" t="s">
        <v>131</v>
      </c>
      <c r="I52" s="68" t="s">
        <v>133</v>
      </c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4"/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66"/>
      <c r="F54" s="4" t="s">
        <v>140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0"/>
      <c r="F55" s="4" t="s">
        <v>141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5"/>
      <c r="F56" s="4" t="s">
        <v>142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E57" s="76"/>
      <c r="F57" s="4" t="s">
        <v>143</v>
      </c>
      <c r="G57" s="4"/>
      <c r="H57" s="4"/>
      <c r="I57" s="4"/>
      <c r="J57" s="4"/>
      <c r="K57" s="4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L60" s="5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4:L34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137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10</v>
      </c>
      <c r="G6" s="73">
        <v>46195</v>
      </c>
      <c r="H6" s="18">
        <v>8171</v>
      </c>
      <c r="I6" s="17" t="s">
        <v>28</v>
      </c>
      <c r="J6" s="4" t="s">
        <v>29</v>
      </c>
      <c r="K6" s="4" t="s">
        <v>966</v>
      </c>
      <c r="L6" s="17">
        <v>0</v>
      </c>
      <c r="M6" s="86"/>
      <c r="N6" s="18">
        <v>8171</v>
      </c>
      <c r="O6" s="17" t="s">
        <v>31</v>
      </c>
      <c r="P6" s="19">
        <f t="shared" ref="P6:P16" si="0">N6/H6</f>
        <v>1</v>
      </c>
      <c r="Q6" s="19">
        <v>0.09</v>
      </c>
      <c r="R6" s="4"/>
      <c r="S6" s="17" t="s">
        <v>1008</v>
      </c>
      <c r="T6" s="17" t="s">
        <v>967</v>
      </c>
      <c r="U6" s="17" t="s">
        <v>967</v>
      </c>
      <c r="V6" s="17" t="s">
        <v>967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9</v>
      </c>
      <c r="G7" s="73">
        <v>46194</v>
      </c>
      <c r="H7" s="18">
        <v>7623</v>
      </c>
      <c r="I7" s="17" t="s">
        <v>37</v>
      </c>
      <c r="J7" s="4" t="s">
        <v>38</v>
      </c>
      <c r="K7" s="4" t="s">
        <v>1009</v>
      </c>
      <c r="L7" s="17"/>
      <c r="M7" s="17" t="s">
        <v>151</v>
      </c>
      <c r="N7" s="18">
        <v>7623</v>
      </c>
      <c r="O7" s="17" t="s">
        <v>31</v>
      </c>
      <c r="P7" s="19">
        <f t="shared" si="0"/>
        <v>1</v>
      </c>
      <c r="Q7" s="19">
        <v>0.06</v>
      </c>
      <c r="R7" s="4" t="s">
        <v>148</v>
      </c>
      <c r="S7" s="17" t="s">
        <v>41</v>
      </c>
      <c r="T7" s="17" t="s">
        <v>967</v>
      </c>
      <c r="U7" s="17" t="s">
        <v>967</v>
      </c>
      <c r="V7" s="17" t="s">
        <v>967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119</v>
      </c>
      <c r="B8" s="18">
        <v>175000</v>
      </c>
      <c r="C8" s="95">
        <v>0.62</v>
      </c>
      <c r="D8" s="3"/>
      <c r="E8" s="60">
        <v>3</v>
      </c>
      <c r="F8" s="17">
        <v>8</v>
      </c>
      <c r="G8" s="73">
        <v>46193</v>
      </c>
      <c r="H8" s="18">
        <v>7946</v>
      </c>
      <c r="I8" s="17" t="s">
        <v>42</v>
      </c>
      <c r="J8" s="4" t="s">
        <v>43</v>
      </c>
      <c r="K8" s="4" t="s">
        <v>1010</v>
      </c>
      <c r="L8" s="17"/>
      <c r="M8" s="17" t="s">
        <v>151</v>
      </c>
      <c r="N8" s="18">
        <v>6992</v>
      </c>
      <c r="O8" s="17" t="s">
        <v>31</v>
      </c>
      <c r="P8" s="19">
        <f t="shared" si="0"/>
        <v>0.87993959224767182</v>
      </c>
      <c r="Q8" s="19">
        <v>0.06</v>
      </c>
      <c r="R8" s="4" t="s">
        <v>157</v>
      </c>
      <c r="S8" s="17" t="s">
        <v>250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7</v>
      </c>
      <c r="G9" s="73">
        <v>46192</v>
      </c>
      <c r="H9" s="18">
        <v>7380</v>
      </c>
      <c r="I9" s="17" t="s">
        <v>154</v>
      </c>
      <c r="J9" s="4" t="s">
        <v>1011</v>
      </c>
      <c r="K9" s="4" t="s">
        <v>1012</v>
      </c>
      <c r="L9" s="17"/>
      <c r="M9" s="17" t="s">
        <v>151</v>
      </c>
      <c r="N9" s="18">
        <v>5844</v>
      </c>
      <c r="O9" s="17" t="s">
        <v>31</v>
      </c>
      <c r="P9" s="19">
        <f t="shared" si="0"/>
        <v>0.79186991869918699</v>
      </c>
      <c r="Q9" s="19">
        <v>0.03</v>
      </c>
      <c r="R9" s="4" t="s">
        <v>211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6</v>
      </c>
      <c r="G10" s="73">
        <v>46191</v>
      </c>
      <c r="H10" s="18">
        <v>8670</v>
      </c>
      <c r="I10" s="17" t="s">
        <v>212</v>
      </c>
      <c r="J10" s="4" t="s">
        <v>648</v>
      </c>
      <c r="K10" s="4" t="s">
        <v>1013</v>
      </c>
      <c r="L10" s="17"/>
      <c r="M10" s="17"/>
      <c r="N10" s="18">
        <v>5900</v>
      </c>
      <c r="O10" s="17" t="s">
        <v>31</v>
      </c>
      <c r="P10" s="19">
        <f t="shared" si="0"/>
        <v>0.68050749711649361</v>
      </c>
      <c r="Q10" s="19">
        <v>0.05</v>
      </c>
      <c r="R10" s="4" t="s">
        <v>515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1.07</v>
      </c>
      <c r="B11" s="18">
        <v>117000</v>
      </c>
      <c r="C11" s="92"/>
      <c r="D11" s="3"/>
      <c r="E11" s="60">
        <v>6</v>
      </c>
      <c r="F11" s="17">
        <v>5</v>
      </c>
      <c r="G11" s="73">
        <v>46190</v>
      </c>
      <c r="H11" s="18">
        <v>9678</v>
      </c>
      <c r="I11" s="17" t="s">
        <v>47</v>
      </c>
      <c r="J11" s="4" t="s">
        <v>1014</v>
      </c>
      <c r="K11" s="4" t="s">
        <v>1015</v>
      </c>
      <c r="L11" s="17"/>
      <c r="M11" s="17"/>
      <c r="N11" s="18">
        <v>5862</v>
      </c>
      <c r="O11" s="17" t="s">
        <v>31</v>
      </c>
      <c r="P11" s="19">
        <f t="shared" si="0"/>
        <v>0.60570365778053314</v>
      </c>
      <c r="Q11" s="19">
        <v>0.1</v>
      </c>
      <c r="R11" s="4" t="s">
        <v>40</v>
      </c>
      <c r="S11" s="17" t="s">
        <v>51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4</v>
      </c>
      <c r="G12" s="73">
        <v>46189</v>
      </c>
      <c r="H12" s="18">
        <v>8662</v>
      </c>
      <c r="I12" s="17" t="s">
        <v>54</v>
      </c>
      <c r="J12" s="4" t="s">
        <v>1016</v>
      </c>
      <c r="K12" s="4" t="s">
        <v>1017</v>
      </c>
      <c r="L12" s="17"/>
      <c r="M12" s="85" t="s">
        <v>57</v>
      </c>
      <c r="N12" s="18">
        <v>6500</v>
      </c>
      <c r="O12" s="17" t="s">
        <v>31</v>
      </c>
      <c r="P12" s="19">
        <f t="shared" si="0"/>
        <v>0.75040406372662205</v>
      </c>
      <c r="Q12" s="19"/>
      <c r="R12" s="4" t="s">
        <v>1018</v>
      </c>
      <c r="S12" s="17" t="s">
        <v>444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13942500</v>
      </c>
      <c r="D13" s="3"/>
      <c r="E13" s="60">
        <v>8</v>
      </c>
      <c r="F13" s="17">
        <v>3</v>
      </c>
      <c r="G13" s="73">
        <v>46188</v>
      </c>
      <c r="H13" s="18">
        <v>8797</v>
      </c>
      <c r="I13" s="17" t="s">
        <v>59</v>
      </c>
      <c r="J13" s="4" t="s">
        <v>1019</v>
      </c>
      <c r="K13" s="4" t="s">
        <v>1020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0.56837558258497212</v>
      </c>
      <c r="Q13" s="19"/>
      <c r="R13" s="4" t="s">
        <v>1021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13248750</v>
      </c>
      <c r="D14" s="3"/>
      <c r="E14" s="60">
        <v>9</v>
      </c>
      <c r="F14" s="17">
        <v>2</v>
      </c>
      <c r="G14" s="73">
        <v>46187</v>
      </c>
      <c r="H14" s="18">
        <v>9393</v>
      </c>
      <c r="I14" s="17" t="s">
        <v>64</v>
      </c>
      <c r="J14" s="4" t="s">
        <v>1022</v>
      </c>
      <c r="K14" s="4" t="s">
        <v>520</v>
      </c>
      <c r="L14" s="17"/>
      <c r="M14" s="85" t="s">
        <v>57</v>
      </c>
      <c r="N14" s="18">
        <v>6500</v>
      </c>
      <c r="O14" s="17" t="s">
        <v>31</v>
      </c>
      <c r="P14" s="19">
        <f t="shared" si="0"/>
        <v>0.69200468433940165</v>
      </c>
      <c r="Q14" s="19"/>
      <c r="R14" s="4" t="s">
        <v>1023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1</v>
      </c>
      <c r="G15" s="73">
        <v>46186</v>
      </c>
      <c r="H15" s="18">
        <v>9453</v>
      </c>
      <c r="I15" s="17" t="s">
        <v>69</v>
      </c>
      <c r="J15" s="4" t="s">
        <v>219</v>
      </c>
      <c r="K15" s="4" t="s">
        <v>70</v>
      </c>
      <c r="L15" s="17"/>
      <c r="M15" s="85" t="s">
        <v>57</v>
      </c>
      <c r="N15" s="18">
        <v>6500</v>
      </c>
      <c r="O15" s="17" t="s">
        <v>31</v>
      </c>
      <c r="P15" s="19">
        <f t="shared" si="0"/>
        <v>0.68761239818047182</v>
      </c>
      <c r="Q15" s="19">
        <v>0.01</v>
      </c>
      <c r="R15" s="4" t="s">
        <v>1024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500000</v>
      </c>
      <c r="D16" s="3"/>
      <c r="E16" s="60">
        <v>11</v>
      </c>
      <c r="F16" s="17">
        <v>20</v>
      </c>
      <c r="G16" s="73">
        <v>46185</v>
      </c>
      <c r="H16" s="18">
        <v>9281</v>
      </c>
      <c r="I16" s="17" t="s">
        <v>169</v>
      </c>
      <c r="J16" s="4" t="s">
        <v>221</v>
      </c>
      <c r="K16" s="4"/>
      <c r="L16" s="41"/>
      <c r="M16" s="85" t="s">
        <v>170</v>
      </c>
      <c r="N16" s="18">
        <v>3208</v>
      </c>
      <c r="O16" s="17" t="s">
        <v>31</v>
      </c>
      <c r="P16" s="19">
        <f t="shared" si="0"/>
        <v>0.34565240814567394</v>
      </c>
      <c r="Q16" s="19"/>
      <c r="R16" s="4"/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7</v>
      </c>
      <c r="G21" s="45">
        <v>46195</v>
      </c>
      <c r="H21" s="46">
        <v>3208</v>
      </c>
      <c r="I21" s="46">
        <v>2887</v>
      </c>
      <c r="J21" s="44" t="s">
        <v>169</v>
      </c>
      <c r="K21" s="47">
        <v>0.35</v>
      </c>
      <c r="L21" s="48">
        <v>0.01</v>
      </c>
      <c r="M21" s="49" t="s">
        <v>1025</v>
      </c>
      <c r="N21" s="50" t="s">
        <v>623</v>
      </c>
      <c r="O21" s="44" t="s">
        <v>1026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6</v>
      </c>
      <c r="G22" s="45">
        <v>46194</v>
      </c>
      <c r="H22" s="46">
        <v>6528</v>
      </c>
      <c r="I22" s="46">
        <v>5875</v>
      </c>
      <c r="J22" s="44" t="s">
        <v>226</v>
      </c>
      <c r="K22" s="47">
        <v>0.68</v>
      </c>
      <c r="L22" s="48"/>
      <c r="M22" s="49" t="s">
        <v>1027</v>
      </c>
      <c r="N22" s="50" t="s">
        <v>410</v>
      </c>
      <c r="O22" s="44" t="s">
        <v>411</v>
      </c>
      <c r="P22" s="46"/>
      <c r="Q22" s="51"/>
      <c r="R22" s="46" t="s">
        <v>100</v>
      </c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13</v>
      </c>
      <c r="F23" s="44">
        <v>5</v>
      </c>
      <c r="G23" s="45">
        <v>46193</v>
      </c>
      <c r="H23" s="46">
        <v>6661</v>
      </c>
      <c r="I23" s="46">
        <v>5995</v>
      </c>
      <c r="J23" s="44" t="s">
        <v>88</v>
      </c>
      <c r="K23" s="47">
        <v>0.71</v>
      </c>
      <c r="L23" s="48">
        <v>0.01</v>
      </c>
      <c r="M23" s="49" t="s">
        <v>1028</v>
      </c>
      <c r="N23" s="50" t="s">
        <v>274</v>
      </c>
      <c r="O23" s="44" t="s">
        <v>1029</v>
      </c>
      <c r="P23" s="46"/>
      <c r="Q23" s="51"/>
      <c r="R23" s="46" t="s">
        <v>100</v>
      </c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14</v>
      </c>
      <c r="F24" s="44">
        <v>4</v>
      </c>
      <c r="G24" s="45">
        <v>46192</v>
      </c>
      <c r="H24" s="46">
        <v>5737</v>
      </c>
      <c r="I24" s="46">
        <v>5163</v>
      </c>
      <c r="J24" s="44" t="s">
        <v>92</v>
      </c>
      <c r="K24" s="47">
        <v>0.61</v>
      </c>
      <c r="L24" s="48"/>
      <c r="M24" s="49" t="s">
        <v>1030</v>
      </c>
      <c r="N24" s="50" t="s">
        <v>862</v>
      </c>
      <c r="O24" s="44" t="s">
        <v>1031</v>
      </c>
      <c r="P24" s="46"/>
      <c r="Q24" s="51"/>
      <c r="R24" s="46" t="s">
        <v>100</v>
      </c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15</v>
      </c>
      <c r="F25" s="44">
        <v>3</v>
      </c>
      <c r="G25" s="45">
        <v>46191</v>
      </c>
      <c r="H25" s="46">
        <v>7088</v>
      </c>
      <c r="I25" s="46">
        <v>6379</v>
      </c>
      <c r="J25" s="44" t="s">
        <v>96</v>
      </c>
      <c r="K25" s="47">
        <v>0.69</v>
      </c>
      <c r="L25" s="48"/>
      <c r="M25" s="49" t="s">
        <v>1032</v>
      </c>
      <c r="N25" s="50" t="s">
        <v>865</v>
      </c>
      <c r="O25" s="44" t="s">
        <v>1033</v>
      </c>
      <c r="P25" s="46"/>
      <c r="Q25" s="51"/>
      <c r="R25" s="46" t="s">
        <v>100</v>
      </c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16</v>
      </c>
      <c r="F26" s="44">
        <v>2</v>
      </c>
      <c r="G26" s="45">
        <v>46190</v>
      </c>
      <c r="H26" s="46">
        <v>5530</v>
      </c>
      <c r="I26" s="46">
        <v>4977</v>
      </c>
      <c r="J26" s="44" t="s">
        <v>102</v>
      </c>
      <c r="K26" s="47">
        <v>0.72</v>
      </c>
      <c r="L26" s="48"/>
      <c r="M26" s="49" t="s">
        <v>1034</v>
      </c>
      <c r="N26" s="50" t="s">
        <v>748</v>
      </c>
      <c r="O26" s="44" t="s">
        <v>1035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17</v>
      </c>
      <c r="F27" s="44">
        <v>1</v>
      </c>
      <c r="G27" s="45">
        <v>46189</v>
      </c>
      <c r="H27" s="46">
        <v>5556</v>
      </c>
      <c r="I27" s="46">
        <v>5000</v>
      </c>
      <c r="J27" s="44" t="s">
        <v>107</v>
      </c>
      <c r="K27" s="47">
        <v>0.68</v>
      </c>
      <c r="L27" s="88"/>
      <c r="M27" s="49" t="s">
        <v>1036</v>
      </c>
      <c r="N27" s="50" t="s">
        <v>710</v>
      </c>
      <c r="O27" s="44" t="s">
        <v>1037</v>
      </c>
      <c r="P27" s="46">
        <v>1803</v>
      </c>
      <c r="Q27" s="52">
        <f t="shared" ref="Q27:Q29" si="1">P27/H27</f>
        <v>0.32451403887688984</v>
      </c>
      <c r="R27" s="46" t="s">
        <v>106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18</v>
      </c>
      <c r="F28" s="44">
        <v>17</v>
      </c>
      <c r="G28" s="45">
        <v>46188</v>
      </c>
      <c r="H28" s="46">
        <v>4319</v>
      </c>
      <c r="I28" s="46">
        <v>3887</v>
      </c>
      <c r="J28" s="44" t="s">
        <v>282</v>
      </c>
      <c r="K28" s="47">
        <v>0.53</v>
      </c>
      <c r="L28" s="88"/>
      <c r="M28" s="49" t="s">
        <v>1038</v>
      </c>
      <c r="N28" s="50" t="s">
        <v>565</v>
      </c>
      <c r="O28" s="44" t="s">
        <v>1039</v>
      </c>
      <c r="P28" s="46">
        <v>2394</v>
      </c>
      <c r="Q28" s="52">
        <f t="shared" si="1"/>
        <v>0.5542949756888168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19</v>
      </c>
      <c r="F29" s="44">
        <v>16</v>
      </c>
      <c r="G29" s="45">
        <v>46187</v>
      </c>
      <c r="H29" s="46">
        <v>5499</v>
      </c>
      <c r="I29" s="46">
        <v>4949</v>
      </c>
      <c r="J29" s="44" t="s">
        <v>331</v>
      </c>
      <c r="K29" s="47">
        <v>0.81</v>
      </c>
      <c r="L29" s="48"/>
      <c r="M29" s="49"/>
      <c r="N29" s="50" t="s">
        <v>1040</v>
      </c>
      <c r="O29" s="44" t="s">
        <v>1041</v>
      </c>
      <c r="P29" s="46">
        <v>4649</v>
      </c>
      <c r="Q29" s="52">
        <f t="shared" si="1"/>
        <v>0.84542644117112198</v>
      </c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5" t="s">
        <v>110</v>
      </c>
      <c r="I34" s="56" t="s">
        <v>76</v>
      </c>
      <c r="J34" s="105" t="s">
        <v>111</v>
      </c>
      <c r="K34" s="106"/>
      <c r="L34" s="107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58" t="s">
        <v>112</v>
      </c>
      <c r="F35" s="89"/>
      <c r="G35" s="17" t="s">
        <v>1042</v>
      </c>
      <c r="H35" s="4"/>
      <c r="I35" s="3"/>
      <c r="J35" s="59" t="s">
        <v>114</v>
      </c>
      <c r="K35" s="59" t="s">
        <v>115</v>
      </c>
      <c r="L35" s="59" t="s">
        <v>116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/>
      <c r="F36" s="42"/>
      <c r="G36" s="17"/>
      <c r="H36" s="3"/>
      <c r="I36" s="3"/>
      <c r="J36" s="3" t="s">
        <v>117</v>
      </c>
      <c r="K36" s="53"/>
      <c r="L36" s="3" t="s">
        <v>1043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3" t="s">
        <v>118</v>
      </c>
      <c r="F37" s="17"/>
      <c r="G37" s="89"/>
      <c r="H37" s="3"/>
      <c r="I37" s="3"/>
      <c r="J37" s="3"/>
      <c r="K37" s="4"/>
      <c r="L37" s="53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119</v>
      </c>
      <c r="F38" s="17">
        <v>0</v>
      </c>
      <c r="G38" s="17"/>
      <c r="H38" s="3"/>
      <c r="I38" s="3"/>
      <c r="J38" s="3" t="s">
        <v>120</v>
      </c>
      <c r="K38" s="53"/>
      <c r="L38" s="53">
        <v>0.06</v>
      </c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17" t="s">
        <v>122</v>
      </c>
      <c r="F39" s="17">
        <v>0</v>
      </c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"/>
      <c r="F40" s="17"/>
      <c r="G40" s="17"/>
      <c r="H40" s="53"/>
      <c r="I40" s="3"/>
      <c r="J40" s="3"/>
      <c r="K40" s="3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55" t="s">
        <v>123</v>
      </c>
      <c r="F41" s="17"/>
      <c r="G41" s="17"/>
      <c r="H41" s="53"/>
      <c r="I41" s="3"/>
      <c r="J41" s="3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124</v>
      </c>
      <c r="F42" s="17">
        <v>0</v>
      </c>
      <c r="G42" s="17"/>
      <c r="H42" s="3"/>
      <c r="I42" s="3"/>
      <c r="J42" s="62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61" t="s">
        <v>125</v>
      </c>
      <c r="F43" s="17">
        <v>0</v>
      </c>
      <c r="G43" s="17"/>
      <c r="H43" s="3"/>
      <c r="I43" s="3"/>
      <c r="J43" s="63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3"/>
      <c r="F44" s="3"/>
      <c r="G44" s="3"/>
      <c r="H44" s="3"/>
      <c r="I44" s="3"/>
      <c r="J44" s="6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55" t="s">
        <v>126</v>
      </c>
      <c r="F45" s="55"/>
      <c r="G45" s="3"/>
      <c r="H45" s="3"/>
      <c r="J45" s="4"/>
      <c r="K45" s="17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5" t="s">
        <v>20</v>
      </c>
      <c r="F46" s="65" t="s">
        <v>127</v>
      </c>
      <c r="G46" s="65" t="s">
        <v>128</v>
      </c>
      <c r="H46" s="65" t="s">
        <v>129</v>
      </c>
      <c r="I46" s="65" t="s">
        <v>87</v>
      </c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66" t="s">
        <v>337</v>
      </c>
      <c r="F47" s="67">
        <v>960</v>
      </c>
      <c r="G47" s="68">
        <v>0</v>
      </c>
      <c r="H47" s="69" t="s">
        <v>131</v>
      </c>
      <c r="I47" s="68"/>
      <c r="J47" s="4"/>
      <c r="K47" s="4"/>
      <c r="L47" s="53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338</v>
      </c>
      <c r="F48" s="67">
        <v>227</v>
      </c>
      <c r="G48" s="68">
        <v>0</v>
      </c>
      <c r="H48" s="69" t="s">
        <v>131</v>
      </c>
      <c r="I48" s="68" t="s">
        <v>1044</v>
      </c>
      <c r="J48" s="4"/>
      <c r="K48" s="4"/>
      <c r="L48" s="53"/>
      <c r="M48" s="73"/>
      <c r="N48" s="18"/>
      <c r="O48" s="18"/>
      <c r="P48" s="17"/>
      <c r="Q48" s="74"/>
      <c r="R48" s="53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70" t="s">
        <v>426</v>
      </c>
      <c r="F49" s="67">
        <v>127</v>
      </c>
      <c r="G49" s="68">
        <v>0</v>
      </c>
      <c r="H49" s="69" t="s">
        <v>131</v>
      </c>
      <c r="I49" s="68" t="s">
        <v>191</v>
      </c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66" t="s">
        <v>341</v>
      </c>
      <c r="F50" s="71">
        <v>480</v>
      </c>
      <c r="G50" s="72"/>
      <c r="H50" s="69" t="s">
        <v>131</v>
      </c>
      <c r="I50" s="68"/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803</v>
      </c>
      <c r="F51" s="71">
        <v>131</v>
      </c>
      <c r="G51" s="72"/>
      <c r="H51" s="69" t="s">
        <v>131</v>
      </c>
      <c r="I51" s="68" t="s">
        <v>567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70" t="s">
        <v>428</v>
      </c>
      <c r="F52" s="71">
        <v>118</v>
      </c>
      <c r="G52" s="72"/>
      <c r="H52" s="69" t="s">
        <v>131</v>
      </c>
      <c r="I52" s="68" t="s">
        <v>191</v>
      </c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4"/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66"/>
      <c r="F54" s="4" t="s">
        <v>140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0"/>
      <c r="F55" s="4" t="s">
        <v>141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5"/>
      <c r="F56" s="4" t="s">
        <v>142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E57" s="76"/>
      <c r="F57" s="4" t="s">
        <v>143</v>
      </c>
      <c r="G57" s="4"/>
      <c r="H57" s="4"/>
      <c r="I57" s="4"/>
      <c r="J57" s="4"/>
      <c r="K57" s="4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L60" s="5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4:L34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140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11</v>
      </c>
      <c r="G6" s="73">
        <v>46196</v>
      </c>
      <c r="H6" s="18">
        <v>8235</v>
      </c>
      <c r="I6" s="17" t="s">
        <v>28</v>
      </c>
      <c r="J6" s="4" t="s">
        <v>29</v>
      </c>
      <c r="K6" s="4" t="s">
        <v>38</v>
      </c>
      <c r="L6" s="17">
        <v>0</v>
      </c>
      <c r="M6" s="86"/>
      <c r="N6" s="18">
        <v>8235</v>
      </c>
      <c r="O6" s="17" t="s">
        <v>31</v>
      </c>
      <c r="P6" s="19">
        <f t="shared" ref="P6:P16" si="0">N6/H6</f>
        <v>1</v>
      </c>
      <c r="Q6" s="19">
        <v>0.05</v>
      </c>
      <c r="R6" s="4"/>
      <c r="S6" s="17" t="s">
        <v>201</v>
      </c>
      <c r="T6" s="17" t="s">
        <v>967</v>
      </c>
      <c r="U6" s="17" t="s">
        <v>967</v>
      </c>
      <c r="V6" s="17" t="s">
        <v>967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10</v>
      </c>
      <c r="G7" s="73">
        <v>46195</v>
      </c>
      <c r="H7" s="18">
        <v>8171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8171</v>
      </c>
      <c r="O7" s="17" t="s">
        <v>31</v>
      </c>
      <c r="P7" s="19">
        <f t="shared" si="0"/>
        <v>1</v>
      </c>
      <c r="Q7" s="19">
        <v>0.08</v>
      </c>
      <c r="R7" s="4" t="s">
        <v>148</v>
      </c>
      <c r="S7" s="17" t="s">
        <v>41</v>
      </c>
      <c r="T7" s="17" t="s">
        <v>967</v>
      </c>
      <c r="U7" s="17" t="s">
        <v>967</v>
      </c>
      <c r="V7" s="17" t="s">
        <v>967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118</v>
      </c>
      <c r="B8" s="18">
        <v>160000</v>
      </c>
      <c r="C8" s="95">
        <v>0.68</v>
      </c>
      <c r="D8" s="3"/>
      <c r="E8" s="60">
        <v>3</v>
      </c>
      <c r="F8" s="17">
        <v>9</v>
      </c>
      <c r="G8" s="73">
        <v>46194</v>
      </c>
      <c r="H8" s="18">
        <v>7623</v>
      </c>
      <c r="I8" s="17" t="s">
        <v>42</v>
      </c>
      <c r="J8" s="4" t="s">
        <v>43</v>
      </c>
      <c r="K8" s="4" t="s">
        <v>1045</v>
      </c>
      <c r="L8" s="17"/>
      <c r="M8" s="17" t="s">
        <v>1046</v>
      </c>
      <c r="N8" s="18">
        <v>7013</v>
      </c>
      <c r="O8" s="17" t="s">
        <v>31</v>
      </c>
      <c r="P8" s="19">
        <f t="shared" si="0"/>
        <v>0.91997901088810174</v>
      </c>
      <c r="Q8" s="19">
        <v>0.06</v>
      </c>
      <c r="R8" s="4" t="s">
        <v>148</v>
      </c>
      <c r="S8" s="17" t="s">
        <v>250</v>
      </c>
      <c r="T8" s="17" t="s">
        <v>967</v>
      </c>
      <c r="U8" s="17" t="s">
        <v>967</v>
      </c>
      <c r="V8" s="17" t="s">
        <v>967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8</v>
      </c>
      <c r="G9" s="73">
        <v>46193</v>
      </c>
      <c r="H9" s="18">
        <v>7946</v>
      </c>
      <c r="I9" s="17" t="s">
        <v>154</v>
      </c>
      <c r="J9" s="4" t="s">
        <v>1047</v>
      </c>
      <c r="K9" s="4" t="s">
        <v>1048</v>
      </c>
      <c r="L9" s="17"/>
      <c r="M9" s="17" t="s">
        <v>151</v>
      </c>
      <c r="N9" s="18">
        <v>6572</v>
      </c>
      <c r="O9" s="17" t="s">
        <v>31</v>
      </c>
      <c r="P9" s="19">
        <f t="shared" si="0"/>
        <v>0.82708280896048325</v>
      </c>
      <c r="Q9" s="19">
        <v>0.04</v>
      </c>
      <c r="R9" s="4" t="s">
        <v>157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7</v>
      </c>
      <c r="G10" s="73">
        <v>46192</v>
      </c>
      <c r="H10" s="18">
        <v>7380</v>
      </c>
      <c r="I10" s="17" t="s">
        <v>212</v>
      </c>
      <c r="J10" s="4" t="s">
        <v>1049</v>
      </c>
      <c r="K10" s="4" t="s">
        <v>1050</v>
      </c>
      <c r="L10" s="17"/>
      <c r="M10" s="17"/>
      <c r="N10" s="18">
        <v>5142</v>
      </c>
      <c r="O10" s="17" t="s">
        <v>31</v>
      </c>
      <c r="P10" s="19">
        <f t="shared" si="0"/>
        <v>0.69674796747967482</v>
      </c>
      <c r="Q10" s="19">
        <v>0.08</v>
      </c>
      <c r="R10" s="4" t="s">
        <v>1051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1.1000000000000001</v>
      </c>
      <c r="B11" s="18">
        <v>119000</v>
      </c>
      <c r="C11" s="92"/>
      <c r="D11" s="3"/>
      <c r="E11" s="60">
        <v>6</v>
      </c>
      <c r="F11" s="17">
        <v>6</v>
      </c>
      <c r="G11" s="73">
        <v>46191</v>
      </c>
      <c r="H11" s="18">
        <v>8670</v>
      </c>
      <c r="I11" s="17" t="s">
        <v>47</v>
      </c>
      <c r="J11" s="4" t="s">
        <v>1052</v>
      </c>
      <c r="K11" s="4" t="s">
        <v>1053</v>
      </c>
      <c r="L11" s="17"/>
      <c r="M11" s="17"/>
      <c r="N11" s="18">
        <v>5023</v>
      </c>
      <c r="O11" s="17" t="s">
        <v>31</v>
      </c>
      <c r="P11" s="19">
        <f t="shared" si="0"/>
        <v>0.57935409457900811</v>
      </c>
      <c r="Q11" s="19"/>
      <c r="R11" s="4" t="s">
        <v>1054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5</v>
      </c>
      <c r="G12" s="73">
        <v>46190</v>
      </c>
      <c r="H12" s="18">
        <v>9678</v>
      </c>
      <c r="I12" s="17" t="s">
        <v>54</v>
      </c>
      <c r="J12" s="4" t="s">
        <v>1055</v>
      </c>
      <c r="K12" s="4" t="s">
        <v>1056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0.51663566852655507</v>
      </c>
      <c r="Q12" s="19">
        <v>0.09</v>
      </c>
      <c r="R12" s="4" t="s">
        <v>1057</v>
      </c>
      <c r="S12" s="17" t="s">
        <v>848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14130000</v>
      </c>
      <c r="D13" s="3"/>
      <c r="E13" s="60">
        <v>8</v>
      </c>
      <c r="F13" s="17">
        <v>4</v>
      </c>
      <c r="G13" s="73">
        <v>46189</v>
      </c>
      <c r="H13" s="18">
        <v>8662</v>
      </c>
      <c r="I13" s="17" t="s">
        <v>59</v>
      </c>
      <c r="J13" s="4" t="s">
        <v>1058</v>
      </c>
      <c r="K13" s="4" t="s">
        <v>1059</v>
      </c>
      <c r="L13" s="17"/>
      <c r="M13" s="85" t="s">
        <v>57</v>
      </c>
      <c r="N13" s="18">
        <v>6000</v>
      </c>
      <c r="O13" s="17" t="s">
        <v>31</v>
      </c>
      <c r="P13" s="19">
        <f t="shared" si="0"/>
        <v>0.69268067420918955</v>
      </c>
      <c r="Q13" s="19">
        <v>0.03</v>
      </c>
      <c r="R13" s="4" t="s">
        <v>1060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13338750</v>
      </c>
      <c r="D14" s="3"/>
      <c r="E14" s="60">
        <v>9</v>
      </c>
      <c r="F14" s="17">
        <v>3</v>
      </c>
      <c r="G14" s="73">
        <v>46188</v>
      </c>
      <c r="H14" s="18">
        <v>8797</v>
      </c>
      <c r="I14" s="17" t="s">
        <v>64</v>
      </c>
      <c r="J14" s="4" t="s">
        <v>1061</v>
      </c>
      <c r="K14" s="4" t="s">
        <v>520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0.56837558258497212</v>
      </c>
      <c r="Q14" s="19"/>
      <c r="R14" s="4" t="s">
        <v>1062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2</v>
      </c>
      <c r="G15" s="73">
        <v>46187</v>
      </c>
      <c r="H15" s="18">
        <v>9393</v>
      </c>
      <c r="I15" s="17" t="s">
        <v>69</v>
      </c>
      <c r="J15" s="4" t="s">
        <v>219</v>
      </c>
      <c r="K15" s="4" t="s">
        <v>70</v>
      </c>
      <c r="L15" s="17"/>
      <c r="M15" s="85" t="s">
        <v>57</v>
      </c>
      <c r="N15" s="18">
        <v>6500</v>
      </c>
      <c r="O15" s="17" t="s">
        <v>31</v>
      </c>
      <c r="P15" s="19">
        <f t="shared" si="0"/>
        <v>0.69200468433940165</v>
      </c>
      <c r="Q15" s="19"/>
      <c r="R15" s="4" t="s">
        <v>1063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500000</v>
      </c>
      <c r="D16" s="3"/>
      <c r="E16" s="60">
        <v>11</v>
      </c>
      <c r="F16" s="17">
        <v>1</v>
      </c>
      <c r="G16" s="73">
        <v>46186</v>
      </c>
      <c r="H16" s="18">
        <v>9453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8575</v>
      </c>
      <c r="O16" s="17" t="s">
        <v>31</v>
      </c>
      <c r="P16" s="19">
        <f t="shared" si="0"/>
        <v>0.90711943298423781</v>
      </c>
      <c r="Q16" s="19"/>
      <c r="R16" s="4"/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9</v>
      </c>
      <c r="G21" s="45">
        <v>46196</v>
      </c>
      <c r="H21" s="46">
        <v>4209</v>
      </c>
      <c r="I21" s="46">
        <v>3788</v>
      </c>
      <c r="J21" s="44" t="s">
        <v>169</v>
      </c>
      <c r="K21" s="47">
        <v>0.91</v>
      </c>
      <c r="L21" s="48">
        <v>0.02</v>
      </c>
      <c r="M21" s="49" t="s">
        <v>1064</v>
      </c>
      <c r="N21" s="50" t="s">
        <v>623</v>
      </c>
      <c r="O21" s="44" t="s">
        <v>387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11</v>
      </c>
      <c r="F22" s="44">
        <v>8</v>
      </c>
      <c r="G22" s="45">
        <v>46196</v>
      </c>
      <c r="H22" s="46">
        <v>4366</v>
      </c>
      <c r="I22" s="46">
        <v>3929</v>
      </c>
      <c r="J22" s="44" t="s">
        <v>169</v>
      </c>
      <c r="K22" s="47">
        <v>0.91</v>
      </c>
      <c r="L22" s="48"/>
      <c r="M22" s="49" t="s">
        <v>1065</v>
      </c>
      <c r="N22" s="50" t="s">
        <v>623</v>
      </c>
      <c r="O22" s="44" t="s">
        <v>387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12</v>
      </c>
      <c r="F23" s="44">
        <v>7</v>
      </c>
      <c r="G23" s="45">
        <v>46195</v>
      </c>
      <c r="H23" s="46">
        <v>3208</v>
      </c>
      <c r="I23" s="46">
        <v>2887</v>
      </c>
      <c r="J23" s="44" t="s">
        <v>226</v>
      </c>
      <c r="K23" s="47">
        <v>0.35</v>
      </c>
      <c r="L23" s="48"/>
      <c r="M23" s="49" t="s">
        <v>1066</v>
      </c>
      <c r="N23" s="50" t="s">
        <v>590</v>
      </c>
      <c r="O23" s="44" t="s">
        <v>1067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13</v>
      </c>
      <c r="F24" s="44">
        <v>6</v>
      </c>
      <c r="G24" s="45">
        <v>46194</v>
      </c>
      <c r="H24" s="46">
        <v>6528</v>
      </c>
      <c r="I24" s="46">
        <v>5875</v>
      </c>
      <c r="J24" s="44" t="s">
        <v>88</v>
      </c>
      <c r="K24" s="47">
        <v>0.68</v>
      </c>
      <c r="L24" s="48"/>
      <c r="M24" s="49" t="s">
        <v>1068</v>
      </c>
      <c r="N24" s="50" t="s">
        <v>1069</v>
      </c>
      <c r="O24" s="44" t="s">
        <v>1070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14</v>
      </c>
      <c r="F25" s="44">
        <v>5</v>
      </c>
      <c r="G25" s="45">
        <v>46193</v>
      </c>
      <c r="H25" s="46">
        <v>6661</v>
      </c>
      <c r="I25" s="46">
        <v>5995</v>
      </c>
      <c r="J25" s="44" t="s">
        <v>92</v>
      </c>
      <c r="K25" s="47">
        <v>0.71</v>
      </c>
      <c r="L25" s="48"/>
      <c r="M25" s="49" t="s">
        <v>1071</v>
      </c>
      <c r="N25" s="50" t="s">
        <v>176</v>
      </c>
      <c r="O25" s="44" t="s">
        <v>1072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15</v>
      </c>
      <c r="F26" s="44">
        <v>4</v>
      </c>
      <c r="G26" s="45">
        <v>46192</v>
      </c>
      <c r="H26" s="46">
        <v>5737</v>
      </c>
      <c r="I26" s="46">
        <v>5163</v>
      </c>
      <c r="J26" s="44" t="s">
        <v>96</v>
      </c>
      <c r="K26" s="47">
        <v>0.61</v>
      </c>
      <c r="L26" s="48"/>
      <c r="M26" s="49" t="s">
        <v>1073</v>
      </c>
      <c r="N26" s="50" t="s">
        <v>376</v>
      </c>
      <c r="O26" s="44" t="s">
        <v>377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16</v>
      </c>
      <c r="F27" s="44">
        <v>3</v>
      </c>
      <c r="G27" s="45">
        <v>46191</v>
      </c>
      <c r="H27" s="46">
        <v>7088</v>
      </c>
      <c r="I27" s="46">
        <v>6379</v>
      </c>
      <c r="J27" s="44" t="s">
        <v>102</v>
      </c>
      <c r="K27" s="47">
        <v>0.69</v>
      </c>
      <c r="L27" s="48"/>
      <c r="M27" s="49" t="s">
        <v>1074</v>
      </c>
      <c r="N27" s="50" t="s">
        <v>104</v>
      </c>
      <c r="O27" s="44" t="s">
        <v>1075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17</v>
      </c>
      <c r="F28" s="44">
        <v>2</v>
      </c>
      <c r="G28" s="45">
        <v>46190</v>
      </c>
      <c r="H28" s="46">
        <v>5530</v>
      </c>
      <c r="I28" s="46">
        <v>4977</v>
      </c>
      <c r="J28" s="44" t="s">
        <v>107</v>
      </c>
      <c r="K28" s="47">
        <v>0.72</v>
      </c>
      <c r="L28" s="88"/>
      <c r="M28" s="49" t="s">
        <v>1076</v>
      </c>
      <c r="N28" s="50" t="s">
        <v>326</v>
      </c>
      <c r="O28" s="44" t="s">
        <v>1077</v>
      </c>
      <c r="P28" s="46"/>
      <c r="Q28" s="52"/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18</v>
      </c>
      <c r="F29" s="44">
        <v>1</v>
      </c>
      <c r="G29" s="45">
        <v>46189</v>
      </c>
      <c r="H29" s="46">
        <v>5556</v>
      </c>
      <c r="I29" s="46">
        <v>5000</v>
      </c>
      <c r="J29" s="44" t="s">
        <v>282</v>
      </c>
      <c r="K29" s="47">
        <v>0.68</v>
      </c>
      <c r="L29" s="88"/>
      <c r="M29" s="49" t="s">
        <v>1078</v>
      </c>
      <c r="N29" s="50" t="s">
        <v>1079</v>
      </c>
      <c r="O29" s="44" t="s">
        <v>1080</v>
      </c>
      <c r="P29" s="46">
        <v>4801</v>
      </c>
      <c r="Q29" s="52">
        <f t="shared" ref="Q29:Q30" si="1">P29/H29</f>
        <v>0.8641108711303096</v>
      </c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E30" s="44">
        <v>19</v>
      </c>
      <c r="F30" s="44">
        <v>17</v>
      </c>
      <c r="G30" s="45">
        <v>46188</v>
      </c>
      <c r="H30" s="46">
        <v>4319</v>
      </c>
      <c r="I30" s="46">
        <v>3887</v>
      </c>
      <c r="J30" s="44" t="s">
        <v>331</v>
      </c>
      <c r="K30" s="47">
        <v>0.53</v>
      </c>
      <c r="L30" s="48"/>
      <c r="M30" s="49"/>
      <c r="N30" s="50" t="s">
        <v>381</v>
      </c>
      <c r="O30" s="44" t="s">
        <v>381</v>
      </c>
      <c r="P30" s="46">
        <v>3396</v>
      </c>
      <c r="Q30" s="52">
        <f t="shared" si="1"/>
        <v>0.78629312340819635</v>
      </c>
      <c r="R30" s="46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55" t="s">
        <v>110</v>
      </c>
      <c r="I35" s="56" t="s">
        <v>76</v>
      </c>
      <c r="J35" s="105" t="s">
        <v>111</v>
      </c>
      <c r="K35" s="106"/>
      <c r="L35" s="107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58" t="s">
        <v>112</v>
      </c>
      <c r="F36" s="89"/>
      <c r="G36" s="17" t="s">
        <v>572</v>
      </c>
      <c r="H36" s="4"/>
      <c r="I36" s="3"/>
      <c r="J36" s="59" t="s">
        <v>114</v>
      </c>
      <c r="K36" s="59" t="s">
        <v>115</v>
      </c>
      <c r="L36" s="59" t="s">
        <v>116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3"/>
      <c r="F37" s="42"/>
      <c r="G37" s="17"/>
      <c r="H37" s="3"/>
      <c r="I37" s="3"/>
      <c r="J37" s="3" t="s">
        <v>117</v>
      </c>
      <c r="K37" s="53"/>
      <c r="L37" s="3" t="s">
        <v>1043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3" t="s">
        <v>118</v>
      </c>
      <c r="F38" s="17"/>
      <c r="G38" s="89"/>
      <c r="H38" s="3"/>
      <c r="I38" s="3"/>
      <c r="J38" s="3"/>
      <c r="K38" s="4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17" t="s">
        <v>119</v>
      </c>
      <c r="F39" s="17">
        <v>0</v>
      </c>
      <c r="G39" s="17"/>
      <c r="H39" s="3"/>
      <c r="I39" s="3"/>
      <c r="J39" s="3" t="s">
        <v>120</v>
      </c>
      <c r="K39" s="53"/>
      <c r="L39" s="53">
        <v>0.05</v>
      </c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17" t="s">
        <v>122</v>
      </c>
      <c r="F40" s="17">
        <v>0</v>
      </c>
      <c r="G40" s="17"/>
      <c r="H40" s="53"/>
      <c r="I40" s="3"/>
      <c r="J40" s="3"/>
      <c r="K40" s="3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5"/>
      <c r="F41" s="17"/>
      <c r="G41" s="17"/>
      <c r="H41" s="53"/>
      <c r="I41" s="3"/>
      <c r="J41" s="3"/>
      <c r="K41" s="3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55" t="s">
        <v>123</v>
      </c>
      <c r="F42" s="17"/>
      <c r="G42" s="17"/>
      <c r="H42" s="53"/>
      <c r="I42" s="3"/>
      <c r="J42" s="3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61" t="s">
        <v>124</v>
      </c>
      <c r="F43" s="17">
        <v>0</v>
      </c>
      <c r="G43" s="17"/>
      <c r="H43" s="3"/>
      <c r="I43" s="3"/>
      <c r="J43" s="62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61" t="s">
        <v>125</v>
      </c>
      <c r="F44" s="17">
        <v>0</v>
      </c>
      <c r="G44" s="17"/>
      <c r="H44" s="3"/>
      <c r="I44" s="3"/>
      <c r="J44" s="63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3"/>
      <c r="F45" s="3"/>
      <c r="G45" s="3"/>
      <c r="H45" s="3"/>
      <c r="I45" s="3"/>
      <c r="J45" s="64"/>
      <c r="K45" s="17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55" t="s">
        <v>126</v>
      </c>
      <c r="F46" s="55"/>
      <c r="G46" s="3"/>
      <c r="H46" s="3"/>
      <c r="J46" s="4"/>
      <c r="K46" s="17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65" t="s">
        <v>20</v>
      </c>
      <c r="F47" s="65" t="s">
        <v>127</v>
      </c>
      <c r="G47" s="65" t="s">
        <v>128</v>
      </c>
      <c r="H47" s="65" t="s">
        <v>129</v>
      </c>
      <c r="I47" s="65" t="s">
        <v>87</v>
      </c>
      <c r="J47" s="4"/>
      <c r="K47" s="4"/>
      <c r="L47" s="53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66" t="s">
        <v>389</v>
      </c>
      <c r="F48" s="67">
        <v>1120</v>
      </c>
      <c r="G48" s="68">
        <v>0</v>
      </c>
      <c r="H48" s="69" t="s">
        <v>131</v>
      </c>
      <c r="I48" s="68"/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70" t="s">
        <v>390</v>
      </c>
      <c r="F49" s="67">
        <v>208</v>
      </c>
      <c r="G49" s="68">
        <v>0</v>
      </c>
      <c r="H49" s="69" t="s">
        <v>131</v>
      </c>
      <c r="I49" s="68" t="s">
        <v>537</v>
      </c>
      <c r="J49" s="4"/>
      <c r="K49" s="4"/>
      <c r="L49" s="53"/>
      <c r="M49" s="73"/>
      <c r="N49" s="18"/>
      <c r="O49" s="18"/>
      <c r="P49" s="17"/>
      <c r="Q49" s="74"/>
      <c r="R49" s="53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464</v>
      </c>
      <c r="F50" s="67">
        <v>197</v>
      </c>
      <c r="G50" s="68">
        <v>0</v>
      </c>
      <c r="H50" s="69" t="s">
        <v>131</v>
      </c>
      <c r="I50" s="68" t="s">
        <v>40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66" t="s">
        <v>392</v>
      </c>
      <c r="F51" s="71">
        <v>480</v>
      </c>
      <c r="G51" s="72"/>
      <c r="H51" s="69" t="s">
        <v>131</v>
      </c>
      <c r="I51" s="68"/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70" t="s">
        <v>835</v>
      </c>
      <c r="F52" s="71">
        <v>116</v>
      </c>
      <c r="G52" s="72"/>
      <c r="H52" s="69" t="s">
        <v>131</v>
      </c>
      <c r="I52" s="68" t="s">
        <v>339</v>
      </c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70" t="s">
        <v>466</v>
      </c>
      <c r="F53" s="71">
        <v>111</v>
      </c>
      <c r="G53" s="72"/>
      <c r="H53" s="69" t="s">
        <v>131</v>
      </c>
      <c r="I53" s="68" t="s">
        <v>191</v>
      </c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4"/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66"/>
      <c r="F55" s="4" t="s">
        <v>140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0"/>
      <c r="F56" s="4" t="s">
        <v>141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E57" s="75"/>
      <c r="F57" s="4" t="s">
        <v>142</v>
      </c>
      <c r="G57" s="4"/>
      <c r="H57" s="4"/>
      <c r="I57" s="4"/>
      <c r="J57" s="4"/>
      <c r="K57" s="4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E58" s="76"/>
      <c r="F58" s="4" t="s">
        <v>143</v>
      </c>
      <c r="G58" s="4"/>
      <c r="H58" s="4"/>
      <c r="I58" s="4"/>
      <c r="J58" s="4"/>
      <c r="K58" s="4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L60" s="5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L61" s="5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5:L35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144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12</v>
      </c>
      <c r="G6" s="73">
        <v>46197</v>
      </c>
      <c r="H6" s="18">
        <v>10035</v>
      </c>
      <c r="I6" s="17" t="s">
        <v>28</v>
      </c>
      <c r="J6" s="4" t="s">
        <v>29</v>
      </c>
      <c r="K6" s="4" t="s">
        <v>918</v>
      </c>
      <c r="L6" s="17">
        <v>0</v>
      </c>
      <c r="M6" s="86"/>
      <c r="N6" s="18">
        <v>10035</v>
      </c>
      <c r="O6" s="17" t="s">
        <v>31</v>
      </c>
      <c r="P6" s="19">
        <f t="shared" ref="P6:P16" si="0">N6/H6</f>
        <v>1</v>
      </c>
      <c r="Q6" s="19">
        <v>7.0000000000000007E-2</v>
      </c>
      <c r="R6" s="4" t="s">
        <v>203</v>
      </c>
      <c r="S6" s="17" t="s">
        <v>201</v>
      </c>
      <c r="T6" s="17" t="s">
        <v>967</v>
      </c>
      <c r="U6" s="17" t="s">
        <v>967</v>
      </c>
      <c r="V6" s="17" t="s">
        <v>967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11</v>
      </c>
      <c r="G7" s="73">
        <v>46196</v>
      </c>
      <c r="H7" s="18">
        <v>8235</v>
      </c>
      <c r="I7" s="17" t="s">
        <v>37</v>
      </c>
      <c r="J7" s="4" t="s">
        <v>38</v>
      </c>
      <c r="K7" s="4" t="s">
        <v>38</v>
      </c>
      <c r="L7" s="17"/>
      <c r="M7" s="17" t="s">
        <v>1081</v>
      </c>
      <c r="N7" s="18">
        <v>8235</v>
      </c>
      <c r="O7" s="17" t="s">
        <v>31</v>
      </c>
      <c r="P7" s="19">
        <f t="shared" si="0"/>
        <v>1</v>
      </c>
      <c r="Q7" s="19">
        <v>0.05</v>
      </c>
      <c r="R7" s="4" t="s">
        <v>203</v>
      </c>
      <c r="S7" s="17" t="s">
        <v>41</v>
      </c>
      <c r="T7" s="17" t="s">
        <v>967</v>
      </c>
      <c r="U7" s="17" t="s">
        <v>967</v>
      </c>
      <c r="V7" s="17" t="s">
        <v>967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126</v>
      </c>
      <c r="B8" s="18">
        <v>188000</v>
      </c>
      <c r="C8" s="95">
        <v>0.65</v>
      </c>
      <c r="D8" s="3"/>
      <c r="E8" s="60">
        <v>3</v>
      </c>
      <c r="F8" s="17">
        <v>10</v>
      </c>
      <c r="G8" s="73">
        <v>46195</v>
      </c>
      <c r="H8" s="18">
        <v>8171</v>
      </c>
      <c r="I8" s="17" t="s">
        <v>42</v>
      </c>
      <c r="J8" s="4" t="s">
        <v>1082</v>
      </c>
      <c r="K8" s="4" t="s">
        <v>43</v>
      </c>
      <c r="L8" s="17"/>
      <c r="M8" s="17" t="s">
        <v>1083</v>
      </c>
      <c r="N8" s="18">
        <v>7353</v>
      </c>
      <c r="O8" s="17" t="s">
        <v>31</v>
      </c>
      <c r="P8" s="19">
        <f t="shared" si="0"/>
        <v>0.89988985436299107</v>
      </c>
      <c r="Q8" s="19">
        <v>0.04</v>
      </c>
      <c r="R8" s="4" t="s">
        <v>346</v>
      </c>
      <c r="S8" s="17" t="s">
        <v>250</v>
      </c>
      <c r="T8" s="17" t="s">
        <v>967</v>
      </c>
      <c r="U8" s="17" t="s">
        <v>967</v>
      </c>
      <c r="V8" s="17" t="s">
        <v>967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9</v>
      </c>
      <c r="G9" s="73">
        <v>46194</v>
      </c>
      <c r="H9" s="18">
        <v>7623</v>
      </c>
      <c r="I9" s="17" t="s">
        <v>154</v>
      </c>
      <c r="J9" s="4" t="s">
        <v>509</v>
      </c>
      <c r="K9" s="4" t="s">
        <v>156</v>
      </c>
      <c r="L9" s="17"/>
      <c r="M9" s="17" t="s">
        <v>1084</v>
      </c>
      <c r="N9" s="18">
        <v>6451</v>
      </c>
      <c r="O9" s="17" t="s">
        <v>31</v>
      </c>
      <c r="P9" s="19">
        <f t="shared" si="0"/>
        <v>0.84625475534566441</v>
      </c>
      <c r="Q9" s="19">
        <v>0.02</v>
      </c>
      <c r="R9" s="4" t="s">
        <v>1085</v>
      </c>
      <c r="S9" s="17" t="s">
        <v>46</v>
      </c>
      <c r="T9" s="17" t="s">
        <v>967</v>
      </c>
      <c r="U9" s="17" t="s">
        <v>967</v>
      </c>
      <c r="V9" s="17" t="s">
        <v>967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8</v>
      </c>
      <c r="G10" s="73">
        <v>46193</v>
      </c>
      <c r="H10" s="18">
        <v>7946</v>
      </c>
      <c r="I10" s="17" t="s">
        <v>212</v>
      </c>
      <c r="J10" s="4" t="s">
        <v>1086</v>
      </c>
      <c r="K10" s="4" t="s">
        <v>722</v>
      </c>
      <c r="L10" s="17"/>
      <c r="M10" s="17"/>
      <c r="N10" s="18">
        <v>6246</v>
      </c>
      <c r="O10" s="17" t="s">
        <v>31</v>
      </c>
      <c r="P10" s="19">
        <f t="shared" si="0"/>
        <v>0.78605587717090364</v>
      </c>
      <c r="Q10" s="19">
        <v>0.04</v>
      </c>
      <c r="R10" s="4" t="s">
        <v>1087</v>
      </c>
      <c r="S10" s="17" t="s">
        <v>46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1.02</v>
      </c>
      <c r="B11" s="18">
        <v>126000</v>
      </c>
      <c r="C11" s="92"/>
      <c r="D11" s="3"/>
      <c r="E11" s="60">
        <v>6</v>
      </c>
      <c r="F11" s="17">
        <v>7</v>
      </c>
      <c r="G11" s="73">
        <v>46192</v>
      </c>
      <c r="H11" s="18">
        <v>7380</v>
      </c>
      <c r="I11" s="17" t="s">
        <v>47</v>
      </c>
      <c r="J11" s="4" t="s">
        <v>1088</v>
      </c>
      <c r="K11" s="4" t="s">
        <v>1089</v>
      </c>
      <c r="L11" s="17"/>
      <c r="M11" s="17"/>
      <c r="N11" s="18">
        <v>4123</v>
      </c>
      <c r="O11" s="17" t="s">
        <v>31</v>
      </c>
      <c r="P11" s="19">
        <f t="shared" si="0"/>
        <v>0.55867208672086721</v>
      </c>
      <c r="Q11" s="19"/>
      <c r="R11" s="4" t="s">
        <v>1090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6</v>
      </c>
      <c r="G12" s="73">
        <v>46191</v>
      </c>
      <c r="H12" s="18">
        <v>8670</v>
      </c>
      <c r="I12" s="17" t="s">
        <v>54</v>
      </c>
      <c r="J12" s="4" t="s">
        <v>1091</v>
      </c>
      <c r="K12" s="4" t="s">
        <v>1092</v>
      </c>
      <c r="L12" s="17"/>
      <c r="M12" s="85" t="s">
        <v>57</v>
      </c>
      <c r="N12" s="18">
        <v>4000</v>
      </c>
      <c r="O12" s="17" t="s">
        <v>31</v>
      </c>
      <c r="P12" s="19">
        <f t="shared" si="0"/>
        <v>0.46136101499423299</v>
      </c>
      <c r="Q12" s="19">
        <v>0.03</v>
      </c>
      <c r="R12" s="4" t="s">
        <v>1093</v>
      </c>
      <c r="S12" s="17" t="s">
        <v>1094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15948750</v>
      </c>
      <c r="D13" s="3"/>
      <c r="E13" s="60">
        <v>8</v>
      </c>
      <c r="F13" s="17">
        <v>5</v>
      </c>
      <c r="G13" s="73">
        <v>46190</v>
      </c>
      <c r="H13" s="18">
        <v>9678</v>
      </c>
      <c r="I13" s="17" t="s">
        <v>59</v>
      </c>
      <c r="J13" s="4" t="s">
        <v>1095</v>
      </c>
      <c r="K13" s="4" t="s">
        <v>1096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0.51663566852655507</v>
      </c>
      <c r="Q13" s="19">
        <v>0.1</v>
      </c>
      <c r="R13" s="4" t="s">
        <v>1097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13035000</v>
      </c>
      <c r="D14" s="3"/>
      <c r="E14" s="60">
        <v>9</v>
      </c>
      <c r="F14" s="17">
        <v>4</v>
      </c>
      <c r="G14" s="73">
        <v>46189</v>
      </c>
      <c r="H14" s="18">
        <v>8662</v>
      </c>
      <c r="I14" s="17" t="s">
        <v>64</v>
      </c>
      <c r="J14" s="4" t="s">
        <v>1098</v>
      </c>
      <c r="K14" s="4" t="s">
        <v>1099</v>
      </c>
      <c r="L14" s="17"/>
      <c r="M14" s="85" t="s">
        <v>57</v>
      </c>
      <c r="N14" s="18">
        <v>6000</v>
      </c>
      <c r="O14" s="17" t="s">
        <v>31</v>
      </c>
      <c r="P14" s="19">
        <f t="shared" si="0"/>
        <v>0.69268067420918955</v>
      </c>
      <c r="Q14" s="19"/>
      <c r="R14" s="4" t="s">
        <v>1100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3</v>
      </c>
      <c r="G15" s="73">
        <v>46188</v>
      </c>
      <c r="H15" s="18">
        <v>8797</v>
      </c>
      <c r="I15" s="17" t="s">
        <v>69</v>
      </c>
      <c r="J15" s="4" t="s">
        <v>165</v>
      </c>
      <c r="K15" s="4" t="s">
        <v>219</v>
      </c>
      <c r="L15" s="17"/>
      <c r="M15" s="85" t="s">
        <v>57</v>
      </c>
      <c r="N15" s="18">
        <v>5000</v>
      </c>
      <c r="O15" s="17" t="s">
        <v>31</v>
      </c>
      <c r="P15" s="19">
        <f t="shared" si="0"/>
        <v>0.56837558258497212</v>
      </c>
      <c r="Q15" s="19"/>
      <c r="R15" s="4" t="s">
        <v>1101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2500000</v>
      </c>
      <c r="D16" s="3"/>
      <c r="E16" s="60">
        <v>11</v>
      </c>
      <c r="F16" s="17">
        <v>2</v>
      </c>
      <c r="G16" s="73">
        <v>46187</v>
      </c>
      <c r="H16" s="18">
        <v>9393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7893</v>
      </c>
      <c r="O16" s="17" t="s">
        <v>31</v>
      </c>
      <c r="P16" s="19">
        <f t="shared" si="0"/>
        <v>0.84030661130629192</v>
      </c>
      <c r="Q16" s="19"/>
      <c r="R16" s="4" t="s">
        <v>1102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10</v>
      </c>
      <c r="G21" s="45">
        <v>46197</v>
      </c>
      <c r="H21" s="46">
        <v>5047</v>
      </c>
      <c r="I21" s="46">
        <v>4542</v>
      </c>
      <c r="J21" s="44" t="s">
        <v>169</v>
      </c>
      <c r="K21" s="47">
        <v>0.84</v>
      </c>
      <c r="L21" s="48"/>
      <c r="M21" s="49"/>
      <c r="N21" s="50" t="s">
        <v>695</v>
      </c>
      <c r="O21" s="44" t="s">
        <v>696</v>
      </c>
      <c r="P21" s="46"/>
      <c r="Q21" s="51"/>
      <c r="R21" s="46" t="s">
        <v>1103</v>
      </c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9</v>
      </c>
      <c r="G22" s="45">
        <v>46196</v>
      </c>
      <c r="H22" s="46">
        <v>4209</v>
      </c>
      <c r="I22" s="46">
        <v>3788</v>
      </c>
      <c r="J22" s="44" t="s">
        <v>226</v>
      </c>
      <c r="K22" s="47">
        <v>0.91</v>
      </c>
      <c r="L22" s="48">
        <v>0.02</v>
      </c>
      <c r="M22" s="49" t="s">
        <v>1104</v>
      </c>
      <c r="N22" s="50" t="s">
        <v>590</v>
      </c>
      <c r="O22" s="44" t="s">
        <v>1067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12</v>
      </c>
      <c r="F23" s="44">
        <v>8</v>
      </c>
      <c r="G23" s="45">
        <v>46196</v>
      </c>
      <c r="H23" s="46">
        <v>4366</v>
      </c>
      <c r="I23" s="46">
        <v>3929</v>
      </c>
      <c r="J23" s="44" t="s">
        <v>226</v>
      </c>
      <c r="K23" s="47">
        <v>0.91</v>
      </c>
      <c r="L23" s="48">
        <v>0.02</v>
      </c>
      <c r="M23" s="49" t="s">
        <v>1105</v>
      </c>
      <c r="N23" s="50" t="s">
        <v>590</v>
      </c>
      <c r="O23" s="44" t="s">
        <v>1106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13</v>
      </c>
      <c r="F24" s="44">
        <v>7</v>
      </c>
      <c r="G24" s="45">
        <v>46195</v>
      </c>
      <c r="H24" s="46">
        <v>3208</v>
      </c>
      <c r="I24" s="46">
        <v>2887</v>
      </c>
      <c r="J24" s="44" t="s">
        <v>88</v>
      </c>
      <c r="K24" s="47">
        <v>0.35</v>
      </c>
      <c r="L24" s="48"/>
      <c r="M24" s="49" t="s">
        <v>1107</v>
      </c>
      <c r="N24" s="50" t="s">
        <v>1108</v>
      </c>
      <c r="O24" s="44" t="s">
        <v>1109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14</v>
      </c>
      <c r="F25" s="44">
        <v>6</v>
      </c>
      <c r="G25" s="45">
        <v>46194</v>
      </c>
      <c r="H25" s="46">
        <v>6528</v>
      </c>
      <c r="I25" s="46">
        <v>5875</v>
      </c>
      <c r="J25" s="44" t="s">
        <v>92</v>
      </c>
      <c r="K25" s="47">
        <v>0.68</v>
      </c>
      <c r="L25" s="48">
        <v>0.01</v>
      </c>
      <c r="M25" s="49" t="s">
        <v>1110</v>
      </c>
      <c r="N25" s="50" t="s">
        <v>791</v>
      </c>
      <c r="O25" s="44" t="s">
        <v>1111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15</v>
      </c>
      <c r="F26" s="44">
        <v>5</v>
      </c>
      <c r="G26" s="45">
        <v>46193</v>
      </c>
      <c r="H26" s="46">
        <v>6661</v>
      </c>
      <c r="I26" s="46">
        <v>5995</v>
      </c>
      <c r="J26" s="44" t="s">
        <v>96</v>
      </c>
      <c r="K26" s="47">
        <v>0.71</v>
      </c>
      <c r="L26" s="48"/>
      <c r="M26" s="49" t="s">
        <v>1112</v>
      </c>
      <c r="N26" s="50" t="s">
        <v>865</v>
      </c>
      <c r="O26" s="44" t="s">
        <v>866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16</v>
      </c>
      <c r="F27" s="44">
        <v>4</v>
      </c>
      <c r="G27" s="45">
        <v>46192</v>
      </c>
      <c r="H27" s="46">
        <v>5737</v>
      </c>
      <c r="I27" s="46">
        <v>5163</v>
      </c>
      <c r="J27" s="44" t="s">
        <v>102</v>
      </c>
      <c r="K27" s="47">
        <v>0.61</v>
      </c>
      <c r="L27" s="48"/>
      <c r="M27" s="49" t="s">
        <v>1113</v>
      </c>
      <c r="N27" s="50" t="s">
        <v>1114</v>
      </c>
      <c r="O27" s="44" t="s">
        <v>1115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17</v>
      </c>
      <c r="F28" s="44">
        <v>3</v>
      </c>
      <c r="G28" s="45">
        <v>46191</v>
      </c>
      <c r="H28" s="46">
        <v>7088</v>
      </c>
      <c r="I28" s="46">
        <v>6379</v>
      </c>
      <c r="J28" s="44" t="s">
        <v>107</v>
      </c>
      <c r="K28" s="47">
        <v>0.69</v>
      </c>
      <c r="L28" s="88"/>
      <c r="M28" s="49" t="s">
        <v>1116</v>
      </c>
      <c r="N28" s="50" t="s">
        <v>182</v>
      </c>
      <c r="O28" s="44" t="s">
        <v>1117</v>
      </c>
      <c r="P28" s="46">
        <v>3488</v>
      </c>
      <c r="Q28" s="52">
        <f>P28/H28</f>
        <v>0.49209932279909707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18</v>
      </c>
      <c r="F29" s="44">
        <v>2</v>
      </c>
      <c r="G29" s="45">
        <v>46190</v>
      </c>
      <c r="H29" s="46">
        <v>5530</v>
      </c>
      <c r="I29" s="46">
        <v>4977</v>
      </c>
      <c r="J29" s="44" t="s">
        <v>282</v>
      </c>
      <c r="K29" s="47">
        <v>0.72</v>
      </c>
      <c r="L29" s="88"/>
      <c r="M29" s="49" t="s">
        <v>1118</v>
      </c>
      <c r="N29" s="50" t="s">
        <v>601</v>
      </c>
      <c r="O29" s="44" t="s">
        <v>1119</v>
      </c>
      <c r="P29" s="46"/>
      <c r="Q29" s="52"/>
      <c r="R29" s="46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5" t="s">
        <v>110</v>
      </c>
      <c r="I34" s="56" t="s">
        <v>76</v>
      </c>
      <c r="J34" s="105" t="s">
        <v>111</v>
      </c>
      <c r="K34" s="106"/>
      <c r="L34" s="107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58" t="s">
        <v>112</v>
      </c>
      <c r="F35" s="89"/>
      <c r="G35" s="17" t="s">
        <v>151</v>
      </c>
      <c r="H35" s="4"/>
      <c r="I35" s="3"/>
      <c r="J35" s="59" t="s">
        <v>114</v>
      </c>
      <c r="K35" s="59" t="s">
        <v>115</v>
      </c>
      <c r="L35" s="59" t="s">
        <v>116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/>
      <c r="F36" s="42"/>
      <c r="G36" s="17"/>
      <c r="H36" s="3"/>
      <c r="I36" s="3"/>
      <c r="J36" s="3" t="s">
        <v>117</v>
      </c>
      <c r="K36" s="53"/>
      <c r="L36" s="3" t="s">
        <v>1120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3" t="s">
        <v>118</v>
      </c>
      <c r="F37" s="17"/>
      <c r="G37" s="89"/>
      <c r="H37" s="3"/>
      <c r="I37" s="3"/>
      <c r="J37" s="3"/>
      <c r="K37" s="4"/>
      <c r="L37" s="53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119</v>
      </c>
      <c r="F38" s="17" t="s">
        <v>151</v>
      </c>
      <c r="G38" s="17"/>
      <c r="H38" s="3"/>
      <c r="I38" s="3"/>
      <c r="J38" s="3" t="s">
        <v>120</v>
      </c>
      <c r="K38" s="53"/>
      <c r="L38" s="53">
        <v>0.11</v>
      </c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17" t="s">
        <v>122</v>
      </c>
      <c r="F39" s="17">
        <v>0</v>
      </c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"/>
      <c r="F40" s="17"/>
      <c r="G40" s="17"/>
      <c r="H40" s="53"/>
      <c r="I40" s="3"/>
      <c r="J40" s="3"/>
      <c r="K40" s="3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55" t="s">
        <v>123</v>
      </c>
      <c r="F41" s="17"/>
      <c r="G41" s="17"/>
      <c r="H41" s="53"/>
      <c r="I41" s="3"/>
      <c r="J41" s="3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124</v>
      </c>
      <c r="F42" s="17">
        <v>0</v>
      </c>
      <c r="G42" s="17"/>
      <c r="H42" s="3"/>
      <c r="I42" s="3"/>
      <c r="J42" s="62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61" t="s">
        <v>125</v>
      </c>
      <c r="F43" s="17">
        <v>0</v>
      </c>
      <c r="G43" s="17"/>
      <c r="H43" s="3"/>
      <c r="I43" s="3"/>
      <c r="J43" s="63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3"/>
      <c r="F44" s="3"/>
      <c r="G44" s="3"/>
      <c r="H44" s="3"/>
      <c r="I44" s="3"/>
      <c r="J44" s="6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55" t="s">
        <v>126</v>
      </c>
      <c r="F45" s="55"/>
      <c r="G45" s="3"/>
      <c r="H45" s="3"/>
      <c r="J45" s="4"/>
      <c r="K45" s="17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5" t="s">
        <v>20</v>
      </c>
      <c r="F46" s="65" t="s">
        <v>127</v>
      </c>
      <c r="G46" s="65" t="s">
        <v>128</v>
      </c>
      <c r="H46" s="65" t="s">
        <v>129</v>
      </c>
      <c r="I46" s="65" t="s">
        <v>87</v>
      </c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66" t="s">
        <v>130</v>
      </c>
      <c r="F47" s="67">
        <v>1120</v>
      </c>
      <c r="G47" s="68">
        <v>0</v>
      </c>
      <c r="H47" s="69" t="s">
        <v>131</v>
      </c>
      <c r="I47" s="68"/>
      <c r="J47" s="4"/>
      <c r="K47" s="4"/>
      <c r="L47" s="53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132</v>
      </c>
      <c r="F48" s="67">
        <v>225</v>
      </c>
      <c r="G48" s="68">
        <v>0</v>
      </c>
      <c r="H48" s="69" t="s">
        <v>131</v>
      </c>
      <c r="I48" s="68" t="s">
        <v>135</v>
      </c>
      <c r="J48" s="4"/>
      <c r="K48" s="4"/>
      <c r="L48" s="53"/>
      <c r="M48" s="73"/>
      <c r="N48" s="18"/>
      <c r="O48" s="18"/>
      <c r="P48" s="17"/>
      <c r="Q48" s="74"/>
      <c r="R48" s="53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70" t="s">
        <v>134</v>
      </c>
      <c r="F49" s="67">
        <v>315</v>
      </c>
      <c r="G49" s="68">
        <v>0</v>
      </c>
      <c r="H49" s="69" t="s">
        <v>131</v>
      </c>
      <c r="I49" s="68" t="s">
        <v>135</v>
      </c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66" t="s">
        <v>136</v>
      </c>
      <c r="F50" s="71">
        <v>320</v>
      </c>
      <c r="G50" s="72"/>
      <c r="H50" s="69" t="s">
        <v>131</v>
      </c>
      <c r="I50" s="68"/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877</v>
      </c>
      <c r="F51" s="71">
        <v>110</v>
      </c>
      <c r="G51" s="72"/>
      <c r="H51" s="69" t="s">
        <v>131</v>
      </c>
      <c r="I51" s="68" t="s">
        <v>1121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70" t="s">
        <v>139</v>
      </c>
      <c r="F52" s="71">
        <v>98</v>
      </c>
      <c r="G52" s="72"/>
      <c r="H52" s="69" t="s">
        <v>1122</v>
      </c>
      <c r="I52" s="68" t="s">
        <v>1123</v>
      </c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4"/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66"/>
      <c r="F54" s="4" t="s">
        <v>140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0"/>
      <c r="F55" s="4" t="s">
        <v>141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5"/>
      <c r="F56" s="4" t="s">
        <v>142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E57" s="76"/>
      <c r="F57" s="4" t="s">
        <v>143</v>
      </c>
      <c r="G57" s="4"/>
      <c r="H57" s="4"/>
      <c r="I57" s="4"/>
      <c r="J57" s="4"/>
      <c r="K57" s="4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L60" s="5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4:L34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153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13</v>
      </c>
      <c r="G6" s="73">
        <v>46198</v>
      </c>
      <c r="H6" s="18">
        <v>9116</v>
      </c>
      <c r="I6" s="17" t="s">
        <v>28</v>
      </c>
      <c r="J6" s="4" t="s">
        <v>29</v>
      </c>
      <c r="K6" s="4" t="s">
        <v>145</v>
      </c>
      <c r="L6" s="17">
        <v>0</v>
      </c>
      <c r="M6" s="86"/>
      <c r="N6" s="18">
        <v>9116</v>
      </c>
      <c r="O6" s="17" t="s">
        <v>31</v>
      </c>
      <c r="P6" s="19">
        <f t="shared" ref="P6:P16" si="0">N6/H6</f>
        <v>1</v>
      </c>
      <c r="Q6" s="19">
        <v>0.05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12</v>
      </c>
      <c r="G7" s="73">
        <v>46197</v>
      </c>
      <c r="H7" s="18">
        <v>10035</v>
      </c>
      <c r="I7" s="17" t="s">
        <v>37</v>
      </c>
      <c r="J7" s="4" t="s">
        <v>38</v>
      </c>
      <c r="K7" s="4" t="s">
        <v>38</v>
      </c>
      <c r="L7" s="17"/>
      <c r="M7" s="17" t="s">
        <v>1124</v>
      </c>
      <c r="N7" s="18">
        <v>10035</v>
      </c>
      <c r="O7" s="17" t="s">
        <v>31</v>
      </c>
      <c r="P7" s="19">
        <f t="shared" si="0"/>
        <v>1</v>
      </c>
      <c r="Q7" s="19">
        <v>0.04</v>
      </c>
      <c r="R7" s="4"/>
      <c r="S7" s="17" t="s">
        <v>475</v>
      </c>
      <c r="T7" s="17" t="s">
        <v>967</v>
      </c>
      <c r="U7" s="17" t="s">
        <v>967</v>
      </c>
      <c r="V7" s="17" t="s">
        <v>967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133</v>
      </c>
      <c r="B8" s="18">
        <v>213000</v>
      </c>
      <c r="C8" s="95">
        <v>0.64</v>
      </c>
      <c r="D8" s="3"/>
      <c r="E8" s="60">
        <v>3</v>
      </c>
      <c r="F8" s="17">
        <v>11</v>
      </c>
      <c r="G8" s="73">
        <v>46196</v>
      </c>
      <c r="H8" s="18">
        <v>8235</v>
      </c>
      <c r="I8" s="17" t="s">
        <v>42</v>
      </c>
      <c r="J8" s="4" t="s">
        <v>43</v>
      </c>
      <c r="K8" s="4" t="s">
        <v>43</v>
      </c>
      <c r="L8" s="17"/>
      <c r="M8" s="17" t="s">
        <v>1125</v>
      </c>
      <c r="N8" s="18">
        <v>7246</v>
      </c>
      <c r="O8" s="17" t="s">
        <v>31</v>
      </c>
      <c r="P8" s="19">
        <f t="shared" si="0"/>
        <v>0.87990285367334553</v>
      </c>
      <c r="Q8" s="19">
        <v>0.04</v>
      </c>
      <c r="R8" s="4" t="s">
        <v>1126</v>
      </c>
      <c r="S8" s="17" t="s">
        <v>349</v>
      </c>
      <c r="T8" s="17" t="s">
        <v>967</v>
      </c>
      <c r="U8" s="17" t="s">
        <v>967</v>
      </c>
      <c r="V8" s="17" t="s">
        <v>967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10</v>
      </c>
      <c r="G9" s="73">
        <v>46195</v>
      </c>
      <c r="H9" s="18">
        <v>8171</v>
      </c>
      <c r="I9" s="17" t="s">
        <v>154</v>
      </c>
      <c r="J9" s="4" t="s">
        <v>1127</v>
      </c>
      <c r="K9" s="4" t="s">
        <v>253</v>
      </c>
      <c r="L9" s="17"/>
      <c r="M9" s="17" t="s">
        <v>151</v>
      </c>
      <c r="N9" s="18">
        <v>6764</v>
      </c>
      <c r="O9" s="17" t="s">
        <v>31</v>
      </c>
      <c r="P9" s="19">
        <f t="shared" si="0"/>
        <v>0.8278056541426998</v>
      </c>
      <c r="Q9" s="19">
        <v>0.06</v>
      </c>
      <c r="R9" s="4" t="s">
        <v>1128</v>
      </c>
      <c r="S9" s="17" t="s">
        <v>46</v>
      </c>
      <c r="T9" s="17" t="s">
        <v>967</v>
      </c>
      <c r="U9" s="17" t="s">
        <v>967</v>
      </c>
      <c r="V9" s="17" t="s">
        <v>967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9</v>
      </c>
      <c r="G10" s="73">
        <v>46194</v>
      </c>
      <c r="H10" s="18">
        <v>7623</v>
      </c>
      <c r="I10" s="17" t="s">
        <v>212</v>
      </c>
      <c r="J10" s="4" t="s">
        <v>1129</v>
      </c>
      <c r="K10" s="4" t="s">
        <v>1130</v>
      </c>
      <c r="L10" s="17"/>
      <c r="M10" s="17"/>
      <c r="N10" s="18">
        <v>5934</v>
      </c>
      <c r="O10" s="17" t="s">
        <v>31</v>
      </c>
      <c r="P10" s="19">
        <f t="shared" si="0"/>
        <v>0.77843368752459663</v>
      </c>
      <c r="Q10" s="19"/>
      <c r="R10" s="4" t="s">
        <v>45</v>
      </c>
      <c r="S10" s="17" t="s">
        <v>46</v>
      </c>
      <c r="T10" s="17"/>
      <c r="U10" s="17" t="s">
        <v>967</v>
      </c>
      <c r="V10" s="17" t="s">
        <v>967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0.96</v>
      </c>
      <c r="B11" s="18">
        <v>131000</v>
      </c>
      <c r="C11" s="92"/>
      <c r="D11" s="3"/>
      <c r="E11" s="60">
        <v>6</v>
      </c>
      <c r="F11" s="17">
        <v>8</v>
      </c>
      <c r="G11" s="73">
        <v>46193</v>
      </c>
      <c r="H11" s="18">
        <v>7946</v>
      </c>
      <c r="I11" s="17" t="s">
        <v>47</v>
      </c>
      <c r="J11" s="4" t="s">
        <v>1131</v>
      </c>
      <c r="K11" s="4" t="s">
        <v>1132</v>
      </c>
      <c r="L11" s="17"/>
      <c r="M11" s="17"/>
      <c r="N11" s="18">
        <v>5933</v>
      </c>
      <c r="O11" s="17" t="s">
        <v>31</v>
      </c>
      <c r="P11" s="19">
        <f t="shared" si="0"/>
        <v>0.74666498867354647</v>
      </c>
      <c r="Q11" s="19">
        <v>0.03</v>
      </c>
      <c r="R11" s="4" t="s">
        <v>40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7</v>
      </c>
      <c r="G12" s="73">
        <v>46192</v>
      </c>
      <c r="H12" s="18">
        <v>7380</v>
      </c>
      <c r="I12" s="17" t="s">
        <v>54</v>
      </c>
      <c r="J12" s="4" t="s">
        <v>1133</v>
      </c>
      <c r="K12" s="4" t="s">
        <v>1134</v>
      </c>
      <c r="L12" s="17"/>
      <c r="M12" s="85" t="s">
        <v>57</v>
      </c>
      <c r="N12" s="18">
        <v>3500</v>
      </c>
      <c r="O12" s="17" t="s">
        <v>31</v>
      </c>
      <c r="P12" s="19">
        <f t="shared" si="0"/>
        <v>0.4742547425474255</v>
      </c>
      <c r="Q12" s="19">
        <v>0.03</v>
      </c>
      <c r="R12" s="4" t="s">
        <v>1135</v>
      </c>
      <c r="S12" s="17" t="s">
        <v>1136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17501250</v>
      </c>
      <c r="D13" s="3"/>
      <c r="E13" s="60">
        <v>8</v>
      </c>
      <c r="F13" s="17">
        <v>6</v>
      </c>
      <c r="G13" s="73">
        <v>46191</v>
      </c>
      <c r="H13" s="18">
        <v>8670</v>
      </c>
      <c r="I13" s="17" t="s">
        <v>59</v>
      </c>
      <c r="J13" s="4" t="s">
        <v>1137</v>
      </c>
      <c r="K13" s="4" t="s">
        <v>1138</v>
      </c>
      <c r="L13" s="17"/>
      <c r="M13" s="85" t="s">
        <v>57</v>
      </c>
      <c r="N13" s="18">
        <v>3500</v>
      </c>
      <c r="O13" s="17" t="s">
        <v>31</v>
      </c>
      <c r="P13" s="19">
        <f t="shared" si="0"/>
        <v>0.40369088811995385</v>
      </c>
      <c r="Q13" s="19"/>
      <c r="R13" s="4" t="s">
        <v>1139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12795000</v>
      </c>
      <c r="D14" s="3"/>
      <c r="E14" s="60">
        <v>9</v>
      </c>
      <c r="F14" s="17">
        <v>5</v>
      </c>
      <c r="G14" s="73">
        <v>46190</v>
      </c>
      <c r="H14" s="18">
        <v>9678</v>
      </c>
      <c r="I14" s="17" t="s">
        <v>64</v>
      </c>
      <c r="J14" s="4" t="s">
        <v>1140</v>
      </c>
      <c r="K14" s="4" t="s">
        <v>1141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0.51663566852655507</v>
      </c>
      <c r="Q14" s="19"/>
      <c r="R14" s="4" t="s">
        <v>1142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4</v>
      </c>
      <c r="G15" s="73">
        <v>46189</v>
      </c>
      <c r="H15" s="18">
        <v>8662</v>
      </c>
      <c r="I15" s="17" t="s">
        <v>69</v>
      </c>
      <c r="J15" s="4" t="s">
        <v>167</v>
      </c>
      <c r="K15" s="4" t="s">
        <v>219</v>
      </c>
      <c r="L15" s="17"/>
      <c r="M15" s="85" t="s">
        <v>57</v>
      </c>
      <c r="N15" s="18">
        <v>6500</v>
      </c>
      <c r="O15" s="17" t="s">
        <v>31</v>
      </c>
      <c r="P15" s="19">
        <f t="shared" si="0"/>
        <v>0.75040406372662205</v>
      </c>
      <c r="Q15" s="19">
        <v>0.03</v>
      </c>
      <c r="R15" s="4" t="s">
        <v>1143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4500000</v>
      </c>
      <c r="D16" s="3"/>
      <c r="E16" s="60">
        <v>11</v>
      </c>
      <c r="F16" s="17">
        <v>3</v>
      </c>
      <c r="G16" s="73">
        <v>46188</v>
      </c>
      <c r="H16" s="18">
        <v>8797</v>
      </c>
      <c r="I16" s="17" t="s">
        <v>169</v>
      </c>
      <c r="J16" s="4" t="s">
        <v>71</v>
      </c>
      <c r="K16" s="4"/>
      <c r="L16" s="41"/>
      <c r="M16" s="85" t="s">
        <v>170</v>
      </c>
      <c r="N16" s="18">
        <v>3668</v>
      </c>
      <c r="O16" s="17" t="s">
        <v>31</v>
      </c>
      <c r="P16" s="19">
        <f t="shared" si="0"/>
        <v>0.41696032738433558</v>
      </c>
      <c r="Q16" s="19"/>
      <c r="R16" s="4" t="s">
        <v>1144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11</v>
      </c>
      <c r="G21" s="45">
        <v>46198</v>
      </c>
      <c r="H21" s="46">
        <v>2668</v>
      </c>
      <c r="I21" s="46">
        <v>2401</v>
      </c>
      <c r="J21" s="44" t="s">
        <v>169</v>
      </c>
      <c r="K21" s="47">
        <v>0.42</v>
      </c>
      <c r="L21" s="48"/>
      <c r="M21" s="49"/>
      <c r="N21" s="50" t="s">
        <v>590</v>
      </c>
      <c r="O21" s="44" t="s">
        <v>1067</v>
      </c>
      <c r="P21" s="46"/>
      <c r="Q21" s="51"/>
      <c r="R21" s="46" t="s">
        <v>1145</v>
      </c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10</v>
      </c>
      <c r="G22" s="45">
        <v>46197</v>
      </c>
      <c r="H22" s="46">
        <v>5047</v>
      </c>
      <c r="I22" s="46">
        <v>4542</v>
      </c>
      <c r="J22" s="44" t="s">
        <v>226</v>
      </c>
      <c r="K22" s="47">
        <v>0.84</v>
      </c>
      <c r="L22" s="48">
        <v>0.02</v>
      </c>
      <c r="M22" s="49" t="s">
        <v>1146</v>
      </c>
      <c r="N22" s="50" t="s">
        <v>590</v>
      </c>
      <c r="O22" s="44" t="s">
        <v>1147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13</v>
      </c>
      <c r="F23" s="44">
        <v>9</v>
      </c>
      <c r="G23" s="45">
        <v>46196</v>
      </c>
      <c r="H23" s="46">
        <v>4209</v>
      </c>
      <c r="I23" s="46">
        <v>3788</v>
      </c>
      <c r="J23" s="44" t="s">
        <v>88</v>
      </c>
      <c r="K23" s="47">
        <v>0.91</v>
      </c>
      <c r="L23" s="48">
        <v>0.03</v>
      </c>
      <c r="M23" s="49" t="s">
        <v>1148</v>
      </c>
      <c r="N23" s="50" t="s">
        <v>271</v>
      </c>
      <c r="O23" s="44" t="s">
        <v>272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13</v>
      </c>
      <c r="F24" s="44">
        <v>8</v>
      </c>
      <c r="G24" s="45">
        <v>46196</v>
      </c>
      <c r="H24" s="46">
        <v>4366</v>
      </c>
      <c r="I24" s="46">
        <v>3929</v>
      </c>
      <c r="J24" s="44" t="s">
        <v>88</v>
      </c>
      <c r="K24" s="47">
        <v>0.91</v>
      </c>
      <c r="L24" s="48"/>
      <c r="M24" s="49" t="s">
        <v>1149</v>
      </c>
      <c r="N24" s="50" t="s">
        <v>90</v>
      </c>
      <c r="O24" s="44" t="s">
        <v>947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14</v>
      </c>
      <c r="F25" s="44">
        <v>7</v>
      </c>
      <c r="G25" s="45">
        <v>46195</v>
      </c>
      <c r="H25" s="46">
        <v>3208</v>
      </c>
      <c r="I25" s="46">
        <v>2887</v>
      </c>
      <c r="J25" s="44" t="s">
        <v>92</v>
      </c>
      <c r="K25" s="47">
        <v>0.35</v>
      </c>
      <c r="L25" s="48"/>
      <c r="M25" s="49" t="s">
        <v>1150</v>
      </c>
      <c r="N25" s="50" t="s">
        <v>317</v>
      </c>
      <c r="O25" s="44" t="s">
        <v>945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15</v>
      </c>
      <c r="F26" s="44">
        <v>6</v>
      </c>
      <c r="G26" s="45">
        <v>46194</v>
      </c>
      <c r="H26" s="46">
        <v>6528</v>
      </c>
      <c r="I26" s="46">
        <v>5875</v>
      </c>
      <c r="J26" s="44" t="s">
        <v>96</v>
      </c>
      <c r="K26" s="47">
        <v>0.68</v>
      </c>
      <c r="L26" s="48"/>
      <c r="M26" s="49" t="s">
        <v>1151</v>
      </c>
      <c r="N26" s="50" t="s">
        <v>225</v>
      </c>
      <c r="O26" s="44" t="s">
        <v>1152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16</v>
      </c>
      <c r="F27" s="44">
        <v>5</v>
      </c>
      <c r="G27" s="45">
        <v>46193</v>
      </c>
      <c r="H27" s="46">
        <v>6661</v>
      </c>
      <c r="I27" s="46">
        <v>5995</v>
      </c>
      <c r="J27" s="44" t="s">
        <v>102</v>
      </c>
      <c r="K27" s="47">
        <v>0.71</v>
      </c>
      <c r="L27" s="48"/>
      <c r="M27" s="49" t="s">
        <v>1153</v>
      </c>
      <c r="N27" s="50" t="s">
        <v>422</v>
      </c>
      <c r="O27" s="44" t="s">
        <v>1154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17</v>
      </c>
      <c r="F28" s="44">
        <v>4</v>
      </c>
      <c r="G28" s="45">
        <v>46192</v>
      </c>
      <c r="H28" s="46">
        <v>5737</v>
      </c>
      <c r="I28" s="46">
        <v>5163</v>
      </c>
      <c r="J28" s="44" t="s">
        <v>107</v>
      </c>
      <c r="K28" s="47">
        <v>0.61</v>
      </c>
      <c r="L28" s="48"/>
      <c r="M28" s="49" t="s">
        <v>382</v>
      </c>
      <c r="N28" s="50" t="s">
        <v>459</v>
      </c>
      <c r="O28" s="44" t="s">
        <v>1039</v>
      </c>
      <c r="P28" s="46">
        <v>1535</v>
      </c>
      <c r="Q28" s="52">
        <f t="shared" ref="Q28:Q30" si="1">P28/H28</f>
        <v>0.26756144326302944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18</v>
      </c>
      <c r="F29" s="44">
        <v>3</v>
      </c>
      <c r="G29" s="45">
        <v>46191</v>
      </c>
      <c r="H29" s="46">
        <v>7088</v>
      </c>
      <c r="I29" s="46">
        <v>6379</v>
      </c>
      <c r="J29" s="44" t="s">
        <v>282</v>
      </c>
      <c r="K29" s="47">
        <v>0.69</v>
      </c>
      <c r="L29" s="88"/>
      <c r="M29" s="49" t="s">
        <v>1155</v>
      </c>
      <c r="N29" s="50" t="s">
        <v>871</v>
      </c>
      <c r="O29" s="44" t="s">
        <v>1156</v>
      </c>
      <c r="P29" s="46">
        <v>5159</v>
      </c>
      <c r="Q29" s="52">
        <f t="shared" si="1"/>
        <v>0.72784988713318288</v>
      </c>
      <c r="R29" s="46" t="s">
        <v>76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E30" s="44">
        <v>19</v>
      </c>
      <c r="F30" s="44">
        <v>2</v>
      </c>
      <c r="G30" s="45">
        <v>46190</v>
      </c>
      <c r="H30" s="46">
        <v>5530</v>
      </c>
      <c r="I30" s="46">
        <v>4977</v>
      </c>
      <c r="J30" s="44" t="s">
        <v>331</v>
      </c>
      <c r="K30" s="47">
        <v>0.72</v>
      </c>
      <c r="L30" s="88"/>
      <c r="M30" s="49"/>
      <c r="N30" s="50" t="s">
        <v>1157</v>
      </c>
      <c r="O30" s="44" t="s">
        <v>1158</v>
      </c>
      <c r="P30" s="46">
        <v>4003</v>
      </c>
      <c r="Q30" s="52">
        <f t="shared" si="1"/>
        <v>0.72386980108499099</v>
      </c>
      <c r="R30" s="46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55" t="s">
        <v>110</v>
      </c>
      <c r="I35" s="56" t="s">
        <v>76</v>
      </c>
      <c r="J35" s="105" t="s">
        <v>111</v>
      </c>
      <c r="K35" s="106"/>
      <c r="L35" s="107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58" t="s">
        <v>112</v>
      </c>
      <c r="F36" s="89"/>
      <c r="G36" s="17" t="s">
        <v>151</v>
      </c>
      <c r="H36" s="4"/>
      <c r="I36" s="3"/>
      <c r="J36" s="59" t="s">
        <v>114</v>
      </c>
      <c r="K36" s="59" t="s">
        <v>115</v>
      </c>
      <c r="L36" s="59" t="s">
        <v>116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3"/>
      <c r="F37" s="42"/>
      <c r="G37" s="17"/>
      <c r="H37" s="3"/>
      <c r="I37" s="3"/>
      <c r="J37" s="3" t="s">
        <v>117</v>
      </c>
      <c r="K37" s="53"/>
      <c r="L37" s="3" t="s">
        <v>1159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3" t="s">
        <v>118</v>
      </c>
      <c r="F38" s="17"/>
      <c r="G38" s="89"/>
      <c r="H38" s="3"/>
      <c r="I38" s="3"/>
      <c r="J38" s="3"/>
      <c r="K38" s="4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17" t="s">
        <v>119</v>
      </c>
      <c r="F39" s="17">
        <v>0</v>
      </c>
      <c r="G39" s="17"/>
      <c r="H39" s="3"/>
      <c r="I39" s="3"/>
      <c r="J39" s="3" t="s">
        <v>120</v>
      </c>
      <c r="K39" s="53"/>
      <c r="L39" s="53">
        <v>0.11</v>
      </c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17" t="s">
        <v>122</v>
      </c>
      <c r="F40" s="17">
        <v>0</v>
      </c>
      <c r="G40" s="17"/>
      <c r="H40" s="53"/>
      <c r="I40" s="3"/>
      <c r="J40" s="3"/>
      <c r="K40" s="3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5"/>
      <c r="F41" s="17"/>
      <c r="G41" s="17"/>
      <c r="H41" s="53"/>
      <c r="I41" s="3"/>
      <c r="J41" s="3"/>
      <c r="K41" s="3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55" t="s">
        <v>123</v>
      </c>
      <c r="F42" s="17"/>
      <c r="G42" s="17"/>
      <c r="H42" s="53"/>
      <c r="I42" s="3"/>
      <c r="J42" s="3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61" t="s">
        <v>124</v>
      </c>
      <c r="F43" s="17">
        <v>0</v>
      </c>
      <c r="G43" s="17"/>
      <c r="H43" s="3"/>
      <c r="I43" s="3"/>
      <c r="J43" s="62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61" t="s">
        <v>125</v>
      </c>
      <c r="F44" s="17">
        <v>0</v>
      </c>
      <c r="G44" s="17"/>
      <c r="H44" s="3"/>
      <c r="I44" s="3"/>
      <c r="J44" s="63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3"/>
      <c r="F45" s="3"/>
      <c r="G45" s="3"/>
      <c r="H45" s="3"/>
      <c r="I45" s="3"/>
      <c r="J45" s="64"/>
      <c r="K45" s="17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55" t="s">
        <v>126</v>
      </c>
      <c r="F46" s="55"/>
      <c r="G46" s="3"/>
      <c r="H46" s="3"/>
      <c r="J46" s="4"/>
      <c r="K46" s="17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65" t="s">
        <v>20</v>
      </c>
      <c r="F47" s="65" t="s">
        <v>127</v>
      </c>
      <c r="G47" s="65" t="s">
        <v>128</v>
      </c>
      <c r="H47" s="65" t="s">
        <v>129</v>
      </c>
      <c r="I47" s="65" t="s">
        <v>87</v>
      </c>
      <c r="J47" s="4"/>
      <c r="K47" s="4"/>
      <c r="L47" s="53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66" t="s">
        <v>188</v>
      </c>
      <c r="F48" s="67">
        <v>1280</v>
      </c>
      <c r="G48" s="68">
        <v>0</v>
      </c>
      <c r="H48" s="69" t="s">
        <v>131</v>
      </c>
      <c r="I48" s="68"/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70" t="s">
        <v>190</v>
      </c>
      <c r="F49" s="67">
        <v>185</v>
      </c>
      <c r="G49" s="68">
        <v>0</v>
      </c>
      <c r="H49" s="69" t="s">
        <v>131</v>
      </c>
      <c r="I49" s="68" t="s">
        <v>1160</v>
      </c>
      <c r="J49" s="4"/>
      <c r="K49" s="4"/>
      <c r="L49" s="53"/>
      <c r="M49" s="73"/>
      <c r="N49" s="18"/>
      <c r="O49" s="18"/>
      <c r="P49" s="17"/>
      <c r="Q49" s="74"/>
      <c r="R49" s="53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192</v>
      </c>
      <c r="F50" s="67">
        <v>94</v>
      </c>
      <c r="G50" s="68">
        <v>0</v>
      </c>
      <c r="H50" s="69" t="s">
        <v>1122</v>
      </c>
      <c r="I50" s="68" t="s">
        <v>1161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66" t="s">
        <v>194</v>
      </c>
      <c r="F51" s="71">
        <v>320</v>
      </c>
      <c r="G51" s="72"/>
      <c r="H51" s="69" t="s">
        <v>131</v>
      </c>
      <c r="I51" s="68"/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70" t="s">
        <v>917</v>
      </c>
      <c r="F52" s="71">
        <v>170</v>
      </c>
      <c r="G52" s="72"/>
      <c r="H52" s="69" t="s">
        <v>131</v>
      </c>
      <c r="I52" s="68" t="s">
        <v>537</v>
      </c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70" t="s">
        <v>197</v>
      </c>
      <c r="F53" s="71">
        <v>167</v>
      </c>
      <c r="G53" s="72"/>
      <c r="H53" s="69" t="s">
        <v>131</v>
      </c>
      <c r="I53" s="68" t="s">
        <v>135</v>
      </c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4"/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66"/>
      <c r="F55" s="4" t="s">
        <v>140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0"/>
      <c r="F56" s="4" t="s">
        <v>141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E57" s="75"/>
      <c r="F57" s="4" t="s">
        <v>142</v>
      </c>
      <c r="G57" s="4"/>
      <c r="H57" s="4"/>
      <c r="I57" s="4"/>
      <c r="J57" s="4"/>
      <c r="K57" s="4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E58" s="76"/>
      <c r="F58" s="4" t="s">
        <v>143</v>
      </c>
      <c r="G58" s="4"/>
      <c r="H58" s="4"/>
      <c r="I58" s="4"/>
      <c r="J58" s="4"/>
      <c r="K58" s="4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L60" s="5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L61" s="5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E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E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J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J168" s="4"/>
      <c r="K168" s="4"/>
      <c r="L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K169" s="4"/>
      <c r="L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N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5:L35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46199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148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14</v>
      </c>
      <c r="G6" s="73">
        <v>46199</v>
      </c>
      <c r="H6" s="18">
        <v>8100</v>
      </c>
      <c r="I6" s="17" t="s">
        <v>28</v>
      </c>
      <c r="J6" s="4" t="s">
        <v>29</v>
      </c>
      <c r="K6" s="4" t="s">
        <v>538</v>
      </c>
      <c r="L6" s="17">
        <v>0</v>
      </c>
      <c r="M6" s="86"/>
      <c r="N6" s="18">
        <v>8100</v>
      </c>
      <c r="O6" s="17" t="s">
        <v>31</v>
      </c>
      <c r="P6" s="19">
        <f t="shared" ref="P6:P16" si="0">N6/H6</f>
        <v>1</v>
      </c>
      <c r="Q6" s="19">
        <v>0.04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13</v>
      </c>
      <c r="G7" s="73">
        <v>46198</v>
      </c>
      <c r="H7" s="18">
        <v>9116</v>
      </c>
      <c r="I7" s="17" t="s">
        <v>37</v>
      </c>
      <c r="J7" s="4" t="s">
        <v>38</v>
      </c>
      <c r="K7" s="4" t="s">
        <v>38</v>
      </c>
      <c r="L7" s="17"/>
      <c r="M7" s="17" t="s">
        <v>1162</v>
      </c>
      <c r="N7" s="18">
        <v>9116</v>
      </c>
      <c r="O7" s="17" t="s">
        <v>31</v>
      </c>
      <c r="P7" s="19">
        <f t="shared" si="0"/>
        <v>1</v>
      </c>
      <c r="Q7" s="19">
        <v>0.08</v>
      </c>
      <c r="R7" s="4" t="s">
        <v>203</v>
      </c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132</v>
      </c>
      <c r="B8" s="18">
        <v>178000</v>
      </c>
      <c r="C8" s="95">
        <v>0.73</v>
      </c>
      <c r="D8" s="3"/>
      <c r="E8" s="60">
        <v>3</v>
      </c>
      <c r="F8" s="17">
        <v>12</v>
      </c>
      <c r="G8" s="73">
        <v>46197</v>
      </c>
      <c r="H8" s="18">
        <v>10035</v>
      </c>
      <c r="I8" s="17" t="s">
        <v>42</v>
      </c>
      <c r="J8" s="4" t="s">
        <v>150</v>
      </c>
      <c r="K8" s="4" t="s">
        <v>43</v>
      </c>
      <c r="L8" s="17"/>
      <c r="M8" s="17" t="s">
        <v>1163</v>
      </c>
      <c r="N8" s="18">
        <v>8529</v>
      </c>
      <c r="O8" s="17" t="s">
        <v>31</v>
      </c>
      <c r="P8" s="19">
        <f t="shared" si="0"/>
        <v>0.84992526158445436</v>
      </c>
      <c r="Q8" s="19">
        <v>0.04</v>
      </c>
      <c r="R8" s="4" t="s">
        <v>1164</v>
      </c>
      <c r="S8" s="17" t="s">
        <v>349</v>
      </c>
      <c r="T8" s="17" t="s">
        <v>967</v>
      </c>
      <c r="U8" s="17" t="s">
        <v>967</v>
      </c>
      <c r="V8" s="17" t="s">
        <v>967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11</v>
      </c>
      <c r="G9" s="73">
        <v>46196</v>
      </c>
      <c r="H9" s="18">
        <v>8235</v>
      </c>
      <c r="I9" s="17" t="s">
        <v>154</v>
      </c>
      <c r="J9" s="4" t="s">
        <v>1127</v>
      </c>
      <c r="K9" s="4" t="s">
        <v>680</v>
      </c>
      <c r="L9" s="17"/>
      <c r="M9" s="17" t="s">
        <v>205</v>
      </c>
      <c r="N9" s="18">
        <v>6521</v>
      </c>
      <c r="O9" s="17" t="s">
        <v>31</v>
      </c>
      <c r="P9" s="19">
        <f t="shared" si="0"/>
        <v>0.79186399514268369</v>
      </c>
      <c r="Q9" s="19">
        <v>0.04</v>
      </c>
      <c r="R9" s="4" t="s">
        <v>157</v>
      </c>
      <c r="S9" s="17" t="s">
        <v>46</v>
      </c>
      <c r="T9" s="17" t="s">
        <v>967</v>
      </c>
      <c r="U9" s="17" t="s">
        <v>967</v>
      </c>
      <c r="V9" s="17" t="s">
        <v>967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10</v>
      </c>
      <c r="G10" s="73">
        <v>46195</v>
      </c>
      <c r="H10" s="18">
        <v>8171</v>
      </c>
      <c r="I10" s="17" t="s">
        <v>212</v>
      </c>
      <c r="J10" s="4" t="s">
        <v>1165</v>
      </c>
      <c r="K10" s="4" t="s">
        <v>1166</v>
      </c>
      <c r="L10" s="17"/>
      <c r="M10" s="17"/>
      <c r="N10" s="18">
        <v>6222</v>
      </c>
      <c r="O10" s="17" t="s">
        <v>31</v>
      </c>
      <c r="P10" s="19">
        <f t="shared" si="0"/>
        <v>0.76147350385509727</v>
      </c>
      <c r="Q10" s="19">
        <v>0.04</v>
      </c>
      <c r="R10" s="4" t="s">
        <v>40</v>
      </c>
      <c r="S10" s="17" t="s">
        <v>46</v>
      </c>
      <c r="T10" s="17"/>
      <c r="U10" s="17" t="s">
        <v>967</v>
      </c>
      <c r="V10" s="17" t="s">
        <v>967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1.07</v>
      </c>
      <c r="B11" s="18">
        <v>138000</v>
      </c>
      <c r="C11" s="92"/>
      <c r="D11" s="3"/>
      <c r="E11" s="60">
        <v>6</v>
      </c>
      <c r="F11" s="17">
        <v>9</v>
      </c>
      <c r="G11" s="73">
        <v>46194</v>
      </c>
      <c r="H11" s="18">
        <v>7623</v>
      </c>
      <c r="I11" s="17" t="s">
        <v>47</v>
      </c>
      <c r="J11" s="4" t="s">
        <v>1167</v>
      </c>
      <c r="K11" s="4" t="s">
        <v>1168</v>
      </c>
      <c r="L11" s="17"/>
      <c r="M11" s="17"/>
      <c r="N11" s="18">
        <v>5340</v>
      </c>
      <c r="O11" s="17" t="s">
        <v>31</v>
      </c>
      <c r="P11" s="19">
        <f t="shared" si="0"/>
        <v>0.70051160960251868</v>
      </c>
      <c r="Q11" s="19">
        <v>0.05</v>
      </c>
      <c r="R11" s="4" t="s">
        <v>1169</v>
      </c>
      <c r="S11" s="17" t="s">
        <v>51</v>
      </c>
      <c r="T11" s="17"/>
      <c r="U11" s="17" t="s">
        <v>967</v>
      </c>
      <c r="V11" s="17" t="s">
        <v>967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8</v>
      </c>
      <c r="G12" s="73">
        <v>46193</v>
      </c>
      <c r="H12" s="18">
        <v>7946</v>
      </c>
      <c r="I12" s="17" t="s">
        <v>54</v>
      </c>
      <c r="J12" s="4" t="s">
        <v>1170</v>
      </c>
      <c r="K12" s="4" t="s">
        <v>1171</v>
      </c>
      <c r="L12" s="17"/>
      <c r="M12" s="85" t="s">
        <v>57</v>
      </c>
      <c r="N12" s="18">
        <v>5500</v>
      </c>
      <c r="O12" s="17" t="s">
        <v>31</v>
      </c>
      <c r="P12" s="19">
        <f t="shared" si="0"/>
        <v>0.69217216209413546</v>
      </c>
      <c r="Q12" s="19"/>
      <c r="R12" s="4" t="s">
        <v>929</v>
      </c>
      <c r="S12" s="17" t="s">
        <v>444</v>
      </c>
      <c r="T12" s="17"/>
      <c r="U12" s="17">
        <v>1</v>
      </c>
      <c r="V12" s="17">
        <v>1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18326250</v>
      </c>
      <c r="D13" s="3"/>
      <c r="E13" s="60">
        <v>8</v>
      </c>
      <c r="F13" s="17">
        <v>7</v>
      </c>
      <c r="G13" s="73">
        <v>46192</v>
      </c>
      <c r="H13" s="18">
        <v>7380</v>
      </c>
      <c r="I13" s="17" t="s">
        <v>59</v>
      </c>
      <c r="J13" s="4" t="s">
        <v>1172</v>
      </c>
      <c r="K13" s="4" t="s">
        <v>1173</v>
      </c>
      <c r="L13" s="17"/>
      <c r="M13" s="85" t="s">
        <v>57</v>
      </c>
      <c r="N13" s="18">
        <v>3000</v>
      </c>
      <c r="O13" s="17" t="s">
        <v>31</v>
      </c>
      <c r="P13" s="19">
        <f t="shared" si="0"/>
        <v>0.4065040650406504</v>
      </c>
      <c r="Q13" s="19"/>
      <c r="R13" s="4" t="s">
        <v>1174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14921250</v>
      </c>
      <c r="D14" s="3"/>
      <c r="E14" s="60">
        <v>9</v>
      </c>
      <c r="F14" s="17">
        <v>6</v>
      </c>
      <c r="G14" s="73">
        <v>46191</v>
      </c>
      <c r="H14" s="18">
        <v>8670</v>
      </c>
      <c r="I14" s="17" t="s">
        <v>64</v>
      </c>
      <c r="J14" s="4" t="s">
        <v>1175</v>
      </c>
      <c r="K14" s="4" t="s">
        <v>1176</v>
      </c>
      <c r="L14" s="17"/>
      <c r="M14" s="85" t="s">
        <v>57</v>
      </c>
      <c r="N14" s="18">
        <v>4000</v>
      </c>
      <c r="O14" s="17" t="s">
        <v>31</v>
      </c>
      <c r="P14" s="19">
        <f t="shared" si="0"/>
        <v>0.46136101499423299</v>
      </c>
      <c r="Q14" s="19"/>
      <c r="R14" s="4" t="s">
        <v>1177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5</v>
      </c>
      <c r="G15" s="73">
        <v>46190</v>
      </c>
      <c r="H15" s="18">
        <v>9678</v>
      </c>
      <c r="I15" s="17" t="s">
        <v>69</v>
      </c>
      <c r="J15" s="4" t="s">
        <v>1178</v>
      </c>
      <c r="K15" s="4" t="s">
        <v>167</v>
      </c>
      <c r="L15" s="17"/>
      <c r="M15" s="85" t="s">
        <v>57</v>
      </c>
      <c r="N15" s="18">
        <v>5000</v>
      </c>
      <c r="O15" s="17" t="s">
        <v>31</v>
      </c>
      <c r="P15" s="19">
        <f t="shared" si="0"/>
        <v>0.51663566852655507</v>
      </c>
      <c r="Q15" s="19"/>
      <c r="R15" s="4" t="s">
        <v>1179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3000000</v>
      </c>
      <c r="D16" s="3"/>
      <c r="E16" s="60">
        <v>11</v>
      </c>
      <c r="F16" s="17">
        <v>4</v>
      </c>
      <c r="G16" s="73">
        <v>46189</v>
      </c>
      <c r="H16" s="18">
        <v>8662</v>
      </c>
      <c r="I16" s="17" t="s">
        <v>169</v>
      </c>
      <c r="J16" s="4" t="s">
        <v>70</v>
      </c>
      <c r="K16" s="4" t="s">
        <v>71</v>
      </c>
      <c r="L16" s="41"/>
      <c r="M16" s="85" t="s">
        <v>170</v>
      </c>
      <c r="N16" s="18">
        <v>6175</v>
      </c>
      <c r="O16" s="17" t="s">
        <v>31</v>
      </c>
      <c r="P16" s="19">
        <f t="shared" si="0"/>
        <v>0.71288386054029096</v>
      </c>
      <c r="Q16" s="19"/>
      <c r="R16" s="4" t="s">
        <v>1180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12</v>
      </c>
      <c r="G21" s="45">
        <v>46199</v>
      </c>
      <c r="H21" s="46">
        <v>6175</v>
      </c>
      <c r="I21" s="46">
        <v>5558</v>
      </c>
      <c r="J21" s="44" t="s">
        <v>169</v>
      </c>
      <c r="K21" s="47">
        <v>0.71</v>
      </c>
      <c r="L21" s="48"/>
      <c r="M21" s="49"/>
      <c r="N21" s="50" t="s">
        <v>899</v>
      </c>
      <c r="O21" s="44" t="s">
        <v>1181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11</v>
      </c>
      <c r="G22" s="45">
        <v>46198</v>
      </c>
      <c r="H22" s="46">
        <v>2668</v>
      </c>
      <c r="I22" s="46">
        <v>2401</v>
      </c>
      <c r="J22" s="44" t="s">
        <v>226</v>
      </c>
      <c r="K22" s="47">
        <v>0.42</v>
      </c>
      <c r="L22" s="48"/>
      <c r="M22" s="49" t="s">
        <v>1182</v>
      </c>
      <c r="N22" s="50" t="s">
        <v>1183</v>
      </c>
      <c r="O22" s="44" t="s">
        <v>1184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13</v>
      </c>
      <c r="F23" s="44">
        <v>10</v>
      </c>
      <c r="G23" s="45">
        <v>46197</v>
      </c>
      <c r="H23" s="46">
        <v>5047</v>
      </c>
      <c r="I23" s="46">
        <v>4542</v>
      </c>
      <c r="J23" s="44" t="s">
        <v>88</v>
      </c>
      <c r="K23" s="47">
        <v>0.84</v>
      </c>
      <c r="L23" s="48"/>
      <c r="M23" s="49" t="s">
        <v>1185</v>
      </c>
      <c r="N23" s="50" t="s">
        <v>271</v>
      </c>
      <c r="O23" s="44" t="s">
        <v>272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14</v>
      </c>
      <c r="F24" s="44">
        <v>9</v>
      </c>
      <c r="G24" s="45">
        <v>46196</v>
      </c>
      <c r="H24" s="46">
        <v>4209</v>
      </c>
      <c r="I24" s="46">
        <v>3788</v>
      </c>
      <c r="J24" s="44" t="s">
        <v>92</v>
      </c>
      <c r="K24" s="47">
        <v>0.91</v>
      </c>
      <c r="L24" s="48">
        <v>0.02</v>
      </c>
      <c r="M24" s="49" t="s">
        <v>1186</v>
      </c>
      <c r="N24" s="50" t="s">
        <v>1187</v>
      </c>
      <c r="O24" s="44" t="s">
        <v>1188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14</v>
      </c>
      <c r="F25" s="44">
        <v>8</v>
      </c>
      <c r="G25" s="45">
        <v>46196</v>
      </c>
      <c r="H25" s="46">
        <v>4366</v>
      </c>
      <c r="I25" s="46">
        <v>3929</v>
      </c>
      <c r="J25" s="44" t="s">
        <v>92</v>
      </c>
      <c r="K25" s="47">
        <v>0.91</v>
      </c>
      <c r="L25" s="48">
        <v>0.01</v>
      </c>
      <c r="M25" s="49" t="s">
        <v>1189</v>
      </c>
      <c r="N25" s="50" t="s">
        <v>454</v>
      </c>
      <c r="O25" s="44" t="s">
        <v>1190</v>
      </c>
      <c r="P25" s="46"/>
      <c r="Q25" s="51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15</v>
      </c>
      <c r="F26" s="44">
        <v>7</v>
      </c>
      <c r="G26" s="45">
        <v>46195</v>
      </c>
      <c r="H26" s="46">
        <v>3208</v>
      </c>
      <c r="I26" s="46">
        <v>2887</v>
      </c>
      <c r="J26" s="44" t="s">
        <v>96</v>
      </c>
      <c r="K26" s="47">
        <v>0.35</v>
      </c>
      <c r="L26" s="48"/>
      <c r="M26" s="49" t="s">
        <v>1073</v>
      </c>
      <c r="N26" s="50" t="s">
        <v>94</v>
      </c>
      <c r="O26" s="44" t="s">
        <v>1041</v>
      </c>
      <c r="P26" s="46"/>
      <c r="Q26" s="51"/>
      <c r="R26" s="46" t="s">
        <v>100</v>
      </c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16</v>
      </c>
      <c r="F27" s="44">
        <v>6</v>
      </c>
      <c r="G27" s="45">
        <v>46194</v>
      </c>
      <c r="H27" s="46">
        <v>6528</v>
      </c>
      <c r="I27" s="46">
        <v>5875</v>
      </c>
      <c r="J27" s="44" t="s">
        <v>102</v>
      </c>
      <c r="K27" s="47">
        <v>0.68</v>
      </c>
      <c r="L27" s="48"/>
      <c r="M27" s="49" t="s">
        <v>1191</v>
      </c>
      <c r="N27" s="50" t="s">
        <v>422</v>
      </c>
      <c r="O27" s="44" t="s">
        <v>1192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17</v>
      </c>
      <c r="F28" s="44">
        <v>5</v>
      </c>
      <c r="G28" s="45">
        <v>46193</v>
      </c>
      <c r="H28" s="46">
        <v>6661</v>
      </c>
      <c r="I28" s="46">
        <v>5995</v>
      </c>
      <c r="J28" s="44" t="s">
        <v>107</v>
      </c>
      <c r="K28" s="47">
        <v>0.71</v>
      </c>
      <c r="L28" s="48"/>
      <c r="M28" s="49" t="s">
        <v>1193</v>
      </c>
      <c r="N28" s="50" t="s">
        <v>1194</v>
      </c>
      <c r="O28" s="44" t="s">
        <v>1195</v>
      </c>
      <c r="P28" s="46">
        <v>4606</v>
      </c>
      <c r="Q28" s="52">
        <f t="shared" ref="Q28:Q29" si="1">P28/H28</f>
        <v>0.6914877645999099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18</v>
      </c>
      <c r="F29" s="44">
        <v>4</v>
      </c>
      <c r="G29" s="45">
        <v>46192</v>
      </c>
      <c r="H29" s="46">
        <v>5737</v>
      </c>
      <c r="I29" s="46">
        <v>5163</v>
      </c>
      <c r="J29" s="44" t="s">
        <v>282</v>
      </c>
      <c r="K29" s="47">
        <v>0.61</v>
      </c>
      <c r="L29" s="48"/>
      <c r="M29" s="49" t="s">
        <v>1196</v>
      </c>
      <c r="N29" s="50" t="s">
        <v>238</v>
      </c>
      <c r="O29" s="44" t="s">
        <v>1067</v>
      </c>
      <c r="P29" s="46">
        <v>1535</v>
      </c>
      <c r="Q29" s="52">
        <f t="shared" si="1"/>
        <v>0.26756144326302944</v>
      </c>
      <c r="R29" s="46" t="s">
        <v>106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E33" s="55" t="s">
        <v>110</v>
      </c>
      <c r="I33" s="56" t="s">
        <v>76</v>
      </c>
      <c r="J33" s="105" t="s">
        <v>111</v>
      </c>
      <c r="K33" s="106"/>
      <c r="L33" s="107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8" t="s">
        <v>112</v>
      </c>
      <c r="F34" s="89"/>
      <c r="G34" s="17" t="s">
        <v>1197</v>
      </c>
      <c r="H34" s="4"/>
      <c r="I34" s="3"/>
      <c r="J34" s="59" t="s">
        <v>114</v>
      </c>
      <c r="K34" s="59" t="s">
        <v>115</v>
      </c>
      <c r="L34" s="59" t="s">
        <v>116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3"/>
      <c r="F35" s="42"/>
      <c r="G35" s="17"/>
      <c r="H35" s="3"/>
      <c r="I35" s="3"/>
      <c r="J35" s="3" t="s">
        <v>117</v>
      </c>
      <c r="K35" s="53"/>
      <c r="L35" s="53">
        <v>0.03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 t="s">
        <v>118</v>
      </c>
      <c r="F36" s="17"/>
      <c r="G36" s="89"/>
      <c r="H36" s="3"/>
      <c r="I36" s="3"/>
      <c r="J36" s="3"/>
      <c r="K36" s="4"/>
      <c r="L36" s="53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17" t="s">
        <v>119</v>
      </c>
      <c r="F37" s="17">
        <v>0</v>
      </c>
      <c r="G37" s="17"/>
      <c r="H37" s="3"/>
      <c r="I37" s="3"/>
      <c r="J37" s="3" t="s">
        <v>120</v>
      </c>
      <c r="K37" s="53"/>
      <c r="L37" s="3" t="s">
        <v>1198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122</v>
      </c>
      <c r="F38" s="17">
        <v>0</v>
      </c>
      <c r="G38" s="17"/>
      <c r="H38" s="53"/>
      <c r="I38" s="3"/>
      <c r="J38" s="3"/>
      <c r="K38" s="3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5"/>
      <c r="F39" s="17"/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5" t="s">
        <v>123</v>
      </c>
      <c r="F40" s="17"/>
      <c r="G40" s="17"/>
      <c r="H40" s="53"/>
      <c r="I40" s="3"/>
      <c r="J40" s="3"/>
      <c r="K40" s="17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61" t="s">
        <v>124</v>
      </c>
      <c r="F41" s="17">
        <v>0</v>
      </c>
      <c r="G41" s="17"/>
      <c r="H41" s="3"/>
      <c r="I41" s="3"/>
      <c r="J41" s="62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125</v>
      </c>
      <c r="F42" s="17">
        <v>0</v>
      </c>
      <c r="G42" s="17"/>
      <c r="H42" s="3"/>
      <c r="I42" s="3"/>
      <c r="J42" s="63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3"/>
      <c r="F43" s="3"/>
      <c r="G43" s="3"/>
      <c r="H43" s="3"/>
      <c r="I43" s="3"/>
      <c r="J43" s="64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55" t="s">
        <v>126</v>
      </c>
      <c r="F44" s="55"/>
      <c r="G44" s="3"/>
      <c r="H44" s="3"/>
      <c r="J44" s="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65" t="s">
        <v>20</v>
      </c>
      <c r="F45" s="65" t="s">
        <v>127</v>
      </c>
      <c r="G45" s="65" t="s">
        <v>128</v>
      </c>
      <c r="H45" s="65" t="s">
        <v>129</v>
      </c>
      <c r="I45" s="65" t="s">
        <v>87</v>
      </c>
      <c r="J45" s="4"/>
      <c r="K45" s="4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6" t="s">
        <v>241</v>
      </c>
      <c r="F46" s="67">
        <v>1280</v>
      </c>
      <c r="G46" s="68">
        <v>0</v>
      </c>
      <c r="H46" s="69" t="s">
        <v>131</v>
      </c>
      <c r="I46" s="68"/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70" t="s">
        <v>242</v>
      </c>
      <c r="F47" s="67">
        <v>197</v>
      </c>
      <c r="G47" s="68">
        <v>0</v>
      </c>
      <c r="H47" s="69" t="s">
        <v>131</v>
      </c>
      <c r="I47" s="68" t="s">
        <v>198</v>
      </c>
      <c r="J47" s="4"/>
      <c r="K47" s="4"/>
      <c r="L47" s="53"/>
      <c r="M47" s="73"/>
      <c r="N47" s="18"/>
      <c r="O47" s="18"/>
      <c r="P47" s="17"/>
      <c r="Q47" s="74"/>
      <c r="R47" s="53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243</v>
      </c>
      <c r="F48" s="67">
        <v>176</v>
      </c>
      <c r="G48" s="68">
        <v>0</v>
      </c>
      <c r="H48" s="69" t="s">
        <v>131</v>
      </c>
      <c r="I48" s="68" t="s">
        <v>133</v>
      </c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66" t="s">
        <v>244</v>
      </c>
      <c r="F49" s="71">
        <v>480</v>
      </c>
      <c r="G49" s="72"/>
      <c r="H49" s="69" t="s">
        <v>131</v>
      </c>
      <c r="I49" s="68"/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963</v>
      </c>
      <c r="F50" s="71">
        <v>148</v>
      </c>
      <c r="G50" s="72"/>
      <c r="H50" s="69" t="s">
        <v>131</v>
      </c>
      <c r="I50" s="68" t="s">
        <v>1199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246</v>
      </c>
      <c r="F51" s="71">
        <v>123</v>
      </c>
      <c r="G51" s="72"/>
      <c r="H51" s="69" t="s">
        <v>131</v>
      </c>
      <c r="I51" s="68" t="s">
        <v>1199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4"/>
      <c r="G52" s="4"/>
      <c r="H52" s="4"/>
      <c r="I52" s="4"/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66"/>
      <c r="F53" s="4" t="s">
        <v>140</v>
      </c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70"/>
      <c r="F54" s="4" t="s">
        <v>141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5"/>
      <c r="F55" s="4" t="s">
        <v>142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6"/>
      <c r="F56" s="4" t="s">
        <v>143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3:L33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46200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176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15</v>
      </c>
      <c r="G6" s="73">
        <v>46200</v>
      </c>
      <c r="H6" s="18">
        <v>8111</v>
      </c>
      <c r="I6" s="17" t="s">
        <v>28</v>
      </c>
      <c r="J6" s="4" t="s">
        <v>29</v>
      </c>
      <c r="K6" s="4" t="s">
        <v>145</v>
      </c>
      <c r="L6" s="17">
        <v>0</v>
      </c>
      <c r="M6" s="86"/>
      <c r="N6" s="18">
        <v>8111</v>
      </c>
      <c r="O6" s="17" t="s">
        <v>31</v>
      </c>
      <c r="P6" s="19">
        <f t="shared" ref="P6:P16" si="0">N6/H6</f>
        <v>1</v>
      </c>
      <c r="Q6" s="19">
        <v>0.1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14</v>
      </c>
      <c r="G7" s="73">
        <v>46199</v>
      </c>
      <c r="H7" s="18">
        <v>8100</v>
      </c>
      <c r="I7" s="17" t="s">
        <v>37</v>
      </c>
      <c r="J7" s="4" t="s">
        <v>38</v>
      </c>
      <c r="K7" s="4" t="s">
        <v>1200</v>
      </c>
      <c r="L7" s="17"/>
      <c r="M7" s="17" t="s">
        <v>1201</v>
      </c>
      <c r="N7" s="18">
        <v>8100</v>
      </c>
      <c r="O7" s="17" t="s">
        <v>31</v>
      </c>
      <c r="P7" s="19">
        <f t="shared" si="0"/>
        <v>1</v>
      </c>
      <c r="Q7" s="19">
        <v>7.0000000000000007E-2</v>
      </c>
      <c r="R7" s="4"/>
      <c r="S7" s="17" t="s">
        <v>41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161</v>
      </c>
      <c r="B8" s="18">
        <v>179000</v>
      </c>
      <c r="C8" s="95">
        <v>0.77</v>
      </c>
      <c r="D8" s="3"/>
      <c r="E8" s="60">
        <v>3</v>
      </c>
      <c r="F8" s="17">
        <v>13</v>
      </c>
      <c r="G8" s="73">
        <v>46198</v>
      </c>
      <c r="H8" s="18">
        <v>9116</v>
      </c>
      <c r="I8" s="17" t="s">
        <v>42</v>
      </c>
      <c r="J8" s="4" t="s">
        <v>970</v>
      </c>
      <c r="K8" s="4" t="s">
        <v>43</v>
      </c>
      <c r="L8" s="17"/>
      <c r="M8" s="17" t="s">
        <v>151</v>
      </c>
      <c r="N8" s="18">
        <v>8500</v>
      </c>
      <c r="O8" s="17" t="s">
        <v>31</v>
      </c>
      <c r="P8" s="19">
        <f t="shared" si="0"/>
        <v>0.93242650285212814</v>
      </c>
      <c r="Q8" s="19">
        <v>0.12</v>
      </c>
      <c r="R8" s="4" t="s">
        <v>1202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12</v>
      </c>
      <c r="G9" s="73">
        <v>46197</v>
      </c>
      <c r="H9" s="18">
        <v>10035</v>
      </c>
      <c r="I9" s="17" t="s">
        <v>154</v>
      </c>
      <c r="J9" s="4" t="s">
        <v>1203</v>
      </c>
      <c r="K9" s="4" t="s">
        <v>647</v>
      </c>
      <c r="L9" s="17"/>
      <c r="M9" s="17" t="s">
        <v>1204</v>
      </c>
      <c r="N9" s="18">
        <v>7505</v>
      </c>
      <c r="O9" s="17" t="s">
        <v>31</v>
      </c>
      <c r="P9" s="19">
        <f t="shared" si="0"/>
        <v>0.7478824115595416</v>
      </c>
      <c r="Q9" s="19">
        <v>0.54</v>
      </c>
      <c r="R9" s="4" t="s">
        <v>1205</v>
      </c>
      <c r="S9" s="17" t="s">
        <v>46</v>
      </c>
      <c r="T9" s="17" t="s">
        <v>967</v>
      </c>
      <c r="U9" s="17" t="s">
        <v>967</v>
      </c>
      <c r="V9" s="17" t="s">
        <v>967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11</v>
      </c>
      <c r="G10" s="73">
        <v>46196</v>
      </c>
      <c r="H10" s="18">
        <v>8235</v>
      </c>
      <c r="I10" s="17" t="s">
        <v>212</v>
      </c>
      <c r="J10" s="4" t="s">
        <v>1206</v>
      </c>
      <c r="K10" s="4" t="s">
        <v>1207</v>
      </c>
      <c r="L10" s="17"/>
      <c r="M10" s="17"/>
      <c r="N10" s="18">
        <v>5999</v>
      </c>
      <c r="O10" s="17" t="s">
        <v>31</v>
      </c>
      <c r="P10" s="19">
        <f t="shared" si="0"/>
        <v>0.72847601700060716</v>
      </c>
      <c r="Q10" s="19">
        <v>7.0000000000000007E-2</v>
      </c>
      <c r="R10" s="4" t="s">
        <v>45</v>
      </c>
      <c r="S10" s="17" t="s">
        <v>51</v>
      </c>
      <c r="T10" s="17"/>
      <c r="U10" s="17" t="s">
        <v>967</v>
      </c>
      <c r="V10" s="17" t="s">
        <v>967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</v>
      </c>
      <c r="B11" s="18">
        <v>137000</v>
      </c>
      <c r="C11" s="92"/>
      <c r="D11" s="3"/>
      <c r="E11" s="60">
        <v>6</v>
      </c>
      <c r="F11" s="17">
        <v>10</v>
      </c>
      <c r="G11" s="73">
        <v>46195</v>
      </c>
      <c r="H11" s="18">
        <v>8171</v>
      </c>
      <c r="I11" s="17" t="s">
        <v>47</v>
      </c>
      <c r="J11" s="4" t="s">
        <v>1208</v>
      </c>
      <c r="K11" s="4" t="s">
        <v>1209</v>
      </c>
      <c r="L11" s="17"/>
      <c r="M11" s="17"/>
      <c r="N11" s="18">
        <v>5724</v>
      </c>
      <c r="O11" s="17" t="s">
        <v>31</v>
      </c>
      <c r="P11" s="19">
        <f t="shared" si="0"/>
        <v>0.70052625137682045</v>
      </c>
      <c r="Q11" s="19">
        <v>0.09</v>
      </c>
      <c r="R11" s="4" t="s">
        <v>45</v>
      </c>
      <c r="S11" s="17" t="s">
        <v>46</v>
      </c>
      <c r="T11" s="17"/>
      <c r="U11" s="17" t="s">
        <v>967</v>
      </c>
      <c r="V11" s="17" t="s">
        <v>967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9</v>
      </c>
      <c r="G12" s="73">
        <v>46194</v>
      </c>
      <c r="H12" s="18">
        <v>7623</v>
      </c>
      <c r="I12" s="17" t="s">
        <v>54</v>
      </c>
      <c r="J12" s="4" t="s">
        <v>1210</v>
      </c>
      <c r="K12" s="4" t="s">
        <v>1211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0.65590974681883774</v>
      </c>
      <c r="Q12" s="19">
        <v>0.03</v>
      </c>
      <c r="R12" s="4" t="s">
        <v>1212</v>
      </c>
      <c r="S12" s="17" t="s">
        <v>1213</v>
      </c>
      <c r="T12" s="17"/>
      <c r="U12" s="17" t="s">
        <v>967</v>
      </c>
      <c r="V12" s="17" t="s">
        <v>967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22128750</v>
      </c>
      <c r="D13" s="3"/>
      <c r="E13" s="60">
        <v>8</v>
      </c>
      <c r="F13" s="17">
        <v>8</v>
      </c>
      <c r="G13" s="73">
        <v>46193</v>
      </c>
      <c r="H13" s="18">
        <v>7946</v>
      </c>
      <c r="I13" s="17" t="s">
        <v>59</v>
      </c>
      <c r="J13" s="4" t="s">
        <v>1176</v>
      </c>
      <c r="K13" s="4" t="s">
        <v>1214</v>
      </c>
      <c r="L13" s="17"/>
      <c r="M13" s="85" t="s">
        <v>57</v>
      </c>
      <c r="N13" s="18">
        <v>5500</v>
      </c>
      <c r="O13" s="17" t="s">
        <v>31</v>
      </c>
      <c r="P13" s="19">
        <f t="shared" si="0"/>
        <v>0.69217216209413546</v>
      </c>
      <c r="Q13" s="19">
        <v>0.02</v>
      </c>
      <c r="R13" s="4" t="s">
        <v>1215</v>
      </c>
      <c r="S13" s="17"/>
      <c r="T13" s="17"/>
      <c r="U13" s="17">
        <v>1</v>
      </c>
      <c r="V13" s="17">
        <v>1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14617500</v>
      </c>
      <c r="D14" s="3"/>
      <c r="E14" s="60">
        <v>9</v>
      </c>
      <c r="F14" s="17">
        <v>7</v>
      </c>
      <c r="G14" s="73">
        <v>46192</v>
      </c>
      <c r="H14" s="18">
        <v>7380</v>
      </c>
      <c r="I14" s="17" t="s">
        <v>64</v>
      </c>
      <c r="J14" s="4" t="s">
        <v>1216</v>
      </c>
      <c r="K14" s="4" t="s">
        <v>1217</v>
      </c>
      <c r="L14" s="17"/>
      <c r="M14" s="85" t="s">
        <v>57</v>
      </c>
      <c r="N14" s="18">
        <v>3000</v>
      </c>
      <c r="O14" s="17" t="s">
        <v>31</v>
      </c>
      <c r="P14" s="19">
        <f t="shared" si="0"/>
        <v>0.4065040650406504</v>
      </c>
      <c r="Q14" s="19"/>
      <c r="R14" s="4" t="s">
        <v>1218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6</v>
      </c>
      <c r="G15" s="73">
        <v>46191</v>
      </c>
      <c r="H15" s="18">
        <v>8670</v>
      </c>
      <c r="I15" s="17" t="s">
        <v>69</v>
      </c>
      <c r="J15" s="4" t="s">
        <v>1219</v>
      </c>
      <c r="K15" s="4" t="s">
        <v>520</v>
      </c>
      <c r="L15" s="17"/>
      <c r="M15" s="85" t="s">
        <v>57</v>
      </c>
      <c r="N15" s="18">
        <v>4000</v>
      </c>
      <c r="O15" s="17" t="s">
        <v>31</v>
      </c>
      <c r="P15" s="19">
        <f t="shared" si="0"/>
        <v>0.46136101499423299</v>
      </c>
      <c r="Q15" s="19">
        <v>0.03</v>
      </c>
      <c r="R15" s="4" t="s">
        <v>1220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7500000</v>
      </c>
      <c r="D16" s="3"/>
      <c r="E16" s="60">
        <v>11</v>
      </c>
      <c r="F16" s="17">
        <v>5</v>
      </c>
      <c r="G16" s="73">
        <v>46190</v>
      </c>
      <c r="H16" s="18">
        <v>9678</v>
      </c>
      <c r="I16" s="17" t="s">
        <v>169</v>
      </c>
      <c r="J16" s="4" t="s">
        <v>221</v>
      </c>
      <c r="K16" s="4" t="s">
        <v>71</v>
      </c>
      <c r="L16" s="41"/>
      <c r="M16" s="85" t="s">
        <v>170</v>
      </c>
      <c r="N16" s="18">
        <v>6105</v>
      </c>
      <c r="O16" s="17" t="s">
        <v>31</v>
      </c>
      <c r="P16" s="19">
        <f t="shared" si="0"/>
        <v>0.63081215127092372</v>
      </c>
      <c r="Q16" s="19"/>
      <c r="R16" s="4" t="s">
        <v>1221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14</v>
      </c>
      <c r="G21" s="45">
        <v>46200</v>
      </c>
      <c r="H21" s="46">
        <v>6105</v>
      </c>
      <c r="I21" s="46">
        <v>5495</v>
      </c>
      <c r="J21" s="44" t="s">
        <v>169</v>
      </c>
      <c r="K21" s="47">
        <v>0.63</v>
      </c>
      <c r="L21" s="48"/>
      <c r="M21" s="49"/>
      <c r="N21" s="50" t="s">
        <v>1222</v>
      </c>
      <c r="O21" s="44" t="s">
        <v>1223</v>
      </c>
      <c r="P21" s="46"/>
      <c r="Q21" s="51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12</v>
      </c>
      <c r="G22" s="45">
        <v>46199</v>
      </c>
      <c r="H22" s="46">
        <v>6175</v>
      </c>
      <c r="I22" s="46">
        <v>5558</v>
      </c>
      <c r="J22" s="44" t="s">
        <v>226</v>
      </c>
      <c r="K22" s="47">
        <v>0.71</v>
      </c>
      <c r="L22" s="48">
        <v>0.01</v>
      </c>
      <c r="M22" s="49" t="s">
        <v>1224</v>
      </c>
      <c r="N22" s="50" t="s">
        <v>698</v>
      </c>
      <c r="O22" s="44" t="s">
        <v>1225</v>
      </c>
      <c r="P22" s="46"/>
      <c r="Q22" s="51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13</v>
      </c>
      <c r="F23" s="44">
        <v>11</v>
      </c>
      <c r="G23" s="45">
        <v>46198</v>
      </c>
      <c r="H23" s="46">
        <v>2668</v>
      </c>
      <c r="I23" s="46">
        <v>2401</v>
      </c>
      <c r="J23" s="44" t="s">
        <v>88</v>
      </c>
      <c r="K23" s="47">
        <v>0.42</v>
      </c>
      <c r="L23" s="48"/>
      <c r="M23" s="49" t="s">
        <v>1226</v>
      </c>
      <c r="N23" s="50" t="s">
        <v>1187</v>
      </c>
      <c r="O23" s="44" t="s">
        <v>1188</v>
      </c>
      <c r="P23" s="46"/>
      <c r="Q23" s="51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14</v>
      </c>
      <c r="F24" s="44">
        <v>10</v>
      </c>
      <c r="G24" s="45">
        <v>46197</v>
      </c>
      <c r="H24" s="46">
        <v>5047</v>
      </c>
      <c r="I24" s="46">
        <v>4542</v>
      </c>
      <c r="J24" s="44" t="s">
        <v>92</v>
      </c>
      <c r="K24" s="47">
        <v>0.84</v>
      </c>
      <c r="L24" s="48"/>
      <c r="M24" s="49" t="s">
        <v>1227</v>
      </c>
      <c r="N24" s="50" t="s">
        <v>494</v>
      </c>
      <c r="O24" s="44" t="s">
        <v>1228</v>
      </c>
      <c r="P24" s="46"/>
      <c r="Q24" s="51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15</v>
      </c>
      <c r="F25" s="44">
        <v>9</v>
      </c>
      <c r="G25" s="45">
        <v>46196</v>
      </c>
      <c r="H25" s="46">
        <v>4209</v>
      </c>
      <c r="I25" s="46">
        <v>3788</v>
      </c>
      <c r="J25" s="44" t="s">
        <v>96</v>
      </c>
      <c r="K25" s="47">
        <v>0.91</v>
      </c>
      <c r="L25" s="48"/>
      <c r="M25" s="49" t="s">
        <v>1229</v>
      </c>
      <c r="N25" s="50" t="s">
        <v>417</v>
      </c>
      <c r="O25" s="44" t="s">
        <v>1230</v>
      </c>
      <c r="P25" s="46"/>
      <c r="Q25" s="51"/>
      <c r="R25" s="46" t="s">
        <v>100</v>
      </c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15</v>
      </c>
      <c r="F26" s="44">
        <v>8</v>
      </c>
      <c r="G26" s="45">
        <v>46196</v>
      </c>
      <c r="H26" s="46">
        <v>4366</v>
      </c>
      <c r="I26" s="46">
        <v>3929</v>
      </c>
      <c r="J26" s="44" t="s">
        <v>96</v>
      </c>
      <c r="K26" s="47">
        <v>0.91</v>
      </c>
      <c r="L26" s="48">
        <v>0.01</v>
      </c>
      <c r="M26" s="49" t="s">
        <v>1231</v>
      </c>
      <c r="N26" s="50" t="s">
        <v>94</v>
      </c>
      <c r="O26" s="44" t="s">
        <v>1232</v>
      </c>
      <c r="P26" s="46"/>
      <c r="Q26" s="51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16</v>
      </c>
      <c r="F27" s="44">
        <v>7</v>
      </c>
      <c r="G27" s="45">
        <v>46195</v>
      </c>
      <c r="H27" s="46">
        <v>3208</v>
      </c>
      <c r="I27" s="46">
        <v>2887</v>
      </c>
      <c r="J27" s="44" t="s">
        <v>102</v>
      </c>
      <c r="K27" s="47">
        <v>0.35</v>
      </c>
      <c r="L27" s="48"/>
      <c r="M27" s="49" t="s">
        <v>237</v>
      </c>
      <c r="N27" s="50" t="s">
        <v>951</v>
      </c>
      <c r="O27" s="44" t="s">
        <v>1233</v>
      </c>
      <c r="P27" s="46"/>
      <c r="Q27" s="51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17</v>
      </c>
      <c r="F28" s="44">
        <v>6</v>
      </c>
      <c r="G28" s="45">
        <v>46194</v>
      </c>
      <c r="H28" s="46">
        <v>6528</v>
      </c>
      <c r="I28" s="46">
        <v>5875</v>
      </c>
      <c r="J28" s="44" t="s">
        <v>107</v>
      </c>
      <c r="K28" s="47">
        <v>0.68</v>
      </c>
      <c r="L28" s="48"/>
      <c r="M28" s="49" t="s">
        <v>1153</v>
      </c>
      <c r="N28" s="50" t="s">
        <v>710</v>
      </c>
      <c r="O28" s="44" t="s">
        <v>1234</v>
      </c>
      <c r="P28" s="46"/>
      <c r="Q28" s="51"/>
      <c r="R28" s="46" t="s">
        <v>100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19</v>
      </c>
      <c r="F29" s="44">
        <v>4</v>
      </c>
      <c r="G29" s="45">
        <v>46192</v>
      </c>
      <c r="H29" s="46">
        <v>5737</v>
      </c>
      <c r="I29" s="46">
        <v>5163</v>
      </c>
      <c r="J29" s="44" t="s">
        <v>331</v>
      </c>
      <c r="K29" s="47">
        <v>0.61</v>
      </c>
      <c r="L29" s="48"/>
      <c r="M29" s="49"/>
      <c r="N29" s="50" t="s">
        <v>702</v>
      </c>
      <c r="O29" s="44" t="s">
        <v>1235</v>
      </c>
      <c r="P29" s="46">
        <v>4857</v>
      </c>
      <c r="Q29" s="52">
        <f>P29/H29</f>
        <v>0.84660972633780718</v>
      </c>
      <c r="R29" s="46" t="s">
        <v>106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E33" s="55" t="s">
        <v>110</v>
      </c>
      <c r="I33" s="56" t="s">
        <v>76</v>
      </c>
      <c r="J33" s="105" t="s">
        <v>111</v>
      </c>
      <c r="K33" s="106"/>
      <c r="L33" s="107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8" t="s">
        <v>112</v>
      </c>
      <c r="F34" s="89"/>
      <c r="G34" s="17" t="s">
        <v>151</v>
      </c>
      <c r="H34" s="4"/>
      <c r="I34" s="3"/>
      <c r="J34" s="59" t="s">
        <v>114</v>
      </c>
      <c r="K34" s="59" t="s">
        <v>115</v>
      </c>
      <c r="L34" s="59" t="s">
        <v>116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3"/>
      <c r="F35" s="42"/>
      <c r="G35" s="17"/>
      <c r="H35" s="3"/>
      <c r="I35" s="3"/>
      <c r="J35" s="3" t="s">
        <v>117</v>
      </c>
      <c r="K35" s="53"/>
      <c r="L35" s="3" t="s">
        <v>1236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 t="s">
        <v>118</v>
      </c>
      <c r="F36" s="17"/>
      <c r="G36" s="89"/>
      <c r="H36" s="3"/>
      <c r="I36" s="3"/>
      <c r="J36" s="3"/>
      <c r="K36" s="4"/>
      <c r="L36" s="53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17" t="s">
        <v>119</v>
      </c>
      <c r="F37" s="17">
        <v>0</v>
      </c>
      <c r="G37" s="17"/>
      <c r="H37" s="3"/>
      <c r="I37" s="3"/>
      <c r="J37" s="3" t="s">
        <v>120</v>
      </c>
      <c r="K37" s="53"/>
      <c r="L37" s="53">
        <v>7.0000000000000007E-2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122</v>
      </c>
      <c r="F38" s="17">
        <v>0</v>
      </c>
      <c r="G38" s="17"/>
      <c r="H38" s="53"/>
      <c r="I38" s="3"/>
      <c r="J38" s="3"/>
      <c r="K38" s="3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5"/>
      <c r="F39" s="17"/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5" t="s">
        <v>123</v>
      </c>
      <c r="F40" s="17"/>
      <c r="G40" s="17"/>
      <c r="H40" s="53"/>
      <c r="I40" s="3"/>
      <c r="J40" s="3"/>
      <c r="K40" s="17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61" t="s">
        <v>124</v>
      </c>
      <c r="F41" s="17">
        <v>0</v>
      </c>
      <c r="G41" s="17"/>
      <c r="H41" s="3"/>
      <c r="I41" s="3"/>
      <c r="J41" s="62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125</v>
      </c>
      <c r="F42" s="17">
        <v>0</v>
      </c>
      <c r="G42" s="17"/>
      <c r="H42" s="3"/>
      <c r="I42" s="3"/>
      <c r="J42" s="63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3"/>
      <c r="F43" s="3"/>
      <c r="G43" s="3"/>
      <c r="H43" s="3"/>
      <c r="I43" s="3"/>
      <c r="J43" s="64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55" t="s">
        <v>126</v>
      </c>
      <c r="F44" s="55"/>
      <c r="G44" s="3"/>
      <c r="H44" s="3"/>
      <c r="J44" s="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65" t="s">
        <v>20</v>
      </c>
      <c r="F45" s="65" t="s">
        <v>127</v>
      </c>
      <c r="G45" s="65" t="s">
        <v>128</v>
      </c>
      <c r="H45" s="65" t="s">
        <v>129</v>
      </c>
      <c r="I45" s="65" t="s">
        <v>87</v>
      </c>
      <c r="J45" s="4"/>
      <c r="K45" s="4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6" t="s">
        <v>287</v>
      </c>
      <c r="F46" s="67">
        <v>1120</v>
      </c>
      <c r="G46" s="68">
        <v>0</v>
      </c>
      <c r="H46" s="69" t="s">
        <v>131</v>
      </c>
      <c r="I46" s="68" t="s">
        <v>40</v>
      </c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70" t="s">
        <v>288</v>
      </c>
      <c r="F47" s="67">
        <v>233</v>
      </c>
      <c r="G47" s="68">
        <v>0</v>
      </c>
      <c r="H47" s="69" t="s">
        <v>131</v>
      </c>
      <c r="I47" s="68" t="s">
        <v>191</v>
      </c>
      <c r="J47" s="4"/>
      <c r="K47" s="4"/>
      <c r="L47" s="53"/>
      <c r="M47" s="73"/>
      <c r="N47" s="18"/>
      <c r="O47" s="18"/>
      <c r="P47" s="17"/>
      <c r="Q47" s="74"/>
      <c r="R47" s="53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289</v>
      </c>
      <c r="F48" s="67">
        <v>212</v>
      </c>
      <c r="G48" s="68">
        <v>0</v>
      </c>
      <c r="H48" s="69" t="s">
        <v>131</v>
      </c>
      <c r="I48" s="68" t="s">
        <v>339</v>
      </c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66" t="s">
        <v>291</v>
      </c>
      <c r="F49" s="71">
        <v>320</v>
      </c>
      <c r="G49" s="72"/>
      <c r="H49" s="69" t="s">
        <v>131</v>
      </c>
      <c r="I49" s="68"/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1007</v>
      </c>
      <c r="F50" s="71">
        <v>131</v>
      </c>
      <c r="G50" s="72"/>
      <c r="H50" s="69" t="s">
        <v>131</v>
      </c>
      <c r="I50" s="68" t="s">
        <v>191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294</v>
      </c>
      <c r="F51" s="71">
        <v>190</v>
      </c>
      <c r="G51" s="72"/>
      <c r="H51" s="69" t="s">
        <v>131</v>
      </c>
      <c r="I51" s="68" t="s">
        <v>40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4"/>
      <c r="G52" s="4"/>
      <c r="H52" s="4"/>
      <c r="I52" s="4"/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66"/>
      <c r="F53" s="4" t="s">
        <v>140</v>
      </c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70"/>
      <c r="F54" s="4" t="s">
        <v>141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5"/>
      <c r="F55" s="4" t="s">
        <v>142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6"/>
      <c r="F56" s="4" t="s">
        <v>143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3:L33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46201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172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16</v>
      </c>
      <c r="G6" s="73">
        <v>46201</v>
      </c>
      <c r="H6" s="18">
        <v>7582</v>
      </c>
      <c r="I6" s="17" t="s">
        <v>28</v>
      </c>
      <c r="J6" s="4" t="s">
        <v>29</v>
      </c>
      <c r="K6" s="4" t="s">
        <v>145</v>
      </c>
      <c r="L6" s="17">
        <v>0</v>
      </c>
      <c r="M6" s="86"/>
      <c r="N6" s="18">
        <v>7582</v>
      </c>
      <c r="O6" s="17" t="s">
        <v>31</v>
      </c>
      <c r="P6" s="19">
        <f t="shared" ref="P6:P16" si="0">N6/H6</f>
        <v>1</v>
      </c>
      <c r="Q6" s="19">
        <v>0.05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15</v>
      </c>
      <c r="G7" s="73">
        <v>46200</v>
      </c>
      <c r="H7" s="18">
        <v>8111</v>
      </c>
      <c r="I7" s="17" t="s">
        <v>37</v>
      </c>
      <c r="J7" s="4" t="s">
        <v>38</v>
      </c>
      <c r="K7" s="4" t="s">
        <v>38</v>
      </c>
      <c r="L7" s="17"/>
      <c r="M7" s="17" t="s">
        <v>1237</v>
      </c>
      <c r="N7" s="18">
        <v>8111</v>
      </c>
      <c r="O7" s="17" t="s">
        <v>31</v>
      </c>
      <c r="P7" s="19">
        <f t="shared" si="0"/>
        <v>1</v>
      </c>
      <c r="Q7" s="19">
        <v>0.02</v>
      </c>
      <c r="R7" s="4"/>
      <c r="S7" s="17" t="s">
        <v>475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160</v>
      </c>
      <c r="B8" s="18">
        <v>193000</v>
      </c>
      <c r="C8" s="95">
        <v>0.72</v>
      </c>
      <c r="D8" s="3"/>
      <c r="E8" s="60">
        <v>3</v>
      </c>
      <c r="F8" s="17">
        <v>14</v>
      </c>
      <c r="G8" s="73">
        <v>46199</v>
      </c>
      <c r="H8" s="18">
        <v>8100</v>
      </c>
      <c r="I8" s="17" t="s">
        <v>42</v>
      </c>
      <c r="J8" s="4" t="s">
        <v>43</v>
      </c>
      <c r="K8" s="4" t="s">
        <v>43</v>
      </c>
      <c r="L8" s="17"/>
      <c r="M8" s="17" t="s">
        <v>1162</v>
      </c>
      <c r="N8" s="18">
        <v>7500</v>
      </c>
      <c r="O8" s="17" t="s">
        <v>31</v>
      </c>
      <c r="P8" s="19">
        <f t="shared" si="0"/>
        <v>0.92592592592592593</v>
      </c>
      <c r="Q8" s="19">
        <v>0.04</v>
      </c>
      <c r="R8" s="4" t="s">
        <v>430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13</v>
      </c>
      <c r="G9" s="73">
        <v>46198</v>
      </c>
      <c r="H9" s="18">
        <v>9116</v>
      </c>
      <c r="I9" s="17" t="s">
        <v>154</v>
      </c>
      <c r="J9" s="4" t="s">
        <v>1238</v>
      </c>
      <c r="K9" s="4" t="s">
        <v>434</v>
      </c>
      <c r="L9" s="17"/>
      <c r="M9" s="17" t="s">
        <v>1239</v>
      </c>
      <c r="N9" s="18">
        <v>7500</v>
      </c>
      <c r="O9" s="17" t="s">
        <v>31</v>
      </c>
      <c r="P9" s="19">
        <f t="shared" si="0"/>
        <v>0.82272926722246598</v>
      </c>
      <c r="Q9" s="19">
        <v>0.06</v>
      </c>
      <c r="R9" s="4" t="s">
        <v>157</v>
      </c>
      <c r="S9" s="17" t="s">
        <v>46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12</v>
      </c>
      <c r="G10" s="73">
        <v>46197</v>
      </c>
      <c r="H10" s="18">
        <v>10035</v>
      </c>
      <c r="I10" s="17" t="s">
        <v>212</v>
      </c>
      <c r="J10" s="4" t="s">
        <v>1240</v>
      </c>
      <c r="K10" s="4" t="s">
        <v>1241</v>
      </c>
      <c r="L10" s="17"/>
      <c r="M10" s="17"/>
      <c r="N10" s="18">
        <v>6754</v>
      </c>
      <c r="O10" s="17" t="s">
        <v>31</v>
      </c>
      <c r="P10" s="19">
        <f t="shared" si="0"/>
        <v>0.67304434479322373</v>
      </c>
      <c r="Q10" s="19">
        <v>0.15</v>
      </c>
      <c r="R10" s="4" t="s">
        <v>1242</v>
      </c>
      <c r="S10" s="17" t="s">
        <v>46</v>
      </c>
      <c r="T10" s="17"/>
      <c r="U10" s="17" t="s">
        <v>967</v>
      </c>
      <c r="V10" s="17" t="s">
        <v>967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0.88</v>
      </c>
      <c r="B11" s="18">
        <v>124000</v>
      </c>
      <c r="C11" s="92"/>
      <c r="D11" s="3"/>
      <c r="E11" s="60">
        <v>6</v>
      </c>
      <c r="F11" s="17">
        <v>11</v>
      </c>
      <c r="G11" s="73">
        <v>46196</v>
      </c>
      <c r="H11" s="18">
        <v>8235</v>
      </c>
      <c r="I11" s="17" t="s">
        <v>47</v>
      </c>
      <c r="J11" s="4" t="s">
        <v>1243</v>
      </c>
      <c r="K11" s="4" t="s">
        <v>1244</v>
      </c>
      <c r="L11" s="17"/>
      <c r="M11" s="17"/>
      <c r="N11" s="18">
        <v>5519</v>
      </c>
      <c r="O11" s="17" t="s">
        <v>31</v>
      </c>
      <c r="P11" s="19">
        <f t="shared" si="0"/>
        <v>0.6701882210078931</v>
      </c>
      <c r="Q11" s="19">
        <v>7.0000000000000007E-2</v>
      </c>
      <c r="R11" s="4" t="s">
        <v>1245</v>
      </c>
      <c r="S11" s="17" t="s">
        <v>46</v>
      </c>
      <c r="T11" s="17"/>
      <c r="U11" s="17" t="s">
        <v>967</v>
      </c>
      <c r="V11" s="17" t="s">
        <v>967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10</v>
      </c>
      <c r="G12" s="73">
        <v>46195</v>
      </c>
      <c r="H12" s="18">
        <v>8171</v>
      </c>
      <c r="I12" s="17" t="s">
        <v>54</v>
      </c>
      <c r="J12" s="4" t="s">
        <v>1246</v>
      </c>
      <c r="K12" s="4" t="s">
        <v>1247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0.61192020560518912</v>
      </c>
      <c r="Q12" s="19">
        <v>0.05</v>
      </c>
      <c r="R12" s="4" t="s">
        <v>1248</v>
      </c>
      <c r="S12" s="17" t="s">
        <v>349</v>
      </c>
      <c r="T12" s="17"/>
      <c r="U12" s="17" t="s">
        <v>967</v>
      </c>
      <c r="V12" s="17" t="s">
        <v>967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19841250</v>
      </c>
      <c r="D13" s="3"/>
      <c r="E13" s="60">
        <v>8</v>
      </c>
      <c r="F13" s="17">
        <v>9</v>
      </c>
      <c r="G13" s="73">
        <v>46194</v>
      </c>
      <c r="H13" s="18">
        <v>7623</v>
      </c>
      <c r="I13" s="17" t="s">
        <v>59</v>
      </c>
      <c r="J13" s="4" t="s">
        <v>1249</v>
      </c>
      <c r="K13" s="4" t="s">
        <v>407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0.65590974681883774</v>
      </c>
      <c r="Q13" s="19"/>
      <c r="R13" s="4" t="s">
        <v>1250</v>
      </c>
      <c r="S13" s="17"/>
      <c r="T13" s="17"/>
      <c r="U13" s="17" t="s">
        <v>967</v>
      </c>
      <c r="V13" s="17" t="s">
        <v>967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14516250</v>
      </c>
      <c r="D14" s="3"/>
      <c r="E14" s="60">
        <v>9</v>
      </c>
      <c r="F14" s="17">
        <v>8</v>
      </c>
      <c r="G14" s="73">
        <v>46193</v>
      </c>
      <c r="H14" s="18">
        <v>7946</v>
      </c>
      <c r="I14" s="17" t="s">
        <v>64</v>
      </c>
      <c r="J14" s="4" t="s">
        <v>1022</v>
      </c>
      <c r="K14" s="4" t="s">
        <v>219</v>
      </c>
      <c r="L14" s="17"/>
      <c r="M14" s="85" t="s">
        <v>57</v>
      </c>
      <c r="N14" s="18">
        <v>5500</v>
      </c>
      <c r="O14" s="17" t="s">
        <v>31</v>
      </c>
      <c r="P14" s="19">
        <f t="shared" si="0"/>
        <v>0.69217216209413546</v>
      </c>
      <c r="Q14" s="19">
        <v>0.02</v>
      </c>
      <c r="R14" s="4" t="s">
        <v>1251</v>
      </c>
      <c r="S14" s="17"/>
      <c r="T14" s="17"/>
      <c r="U14" s="17">
        <v>1</v>
      </c>
      <c r="V14" s="17">
        <v>1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7</v>
      </c>
      <c r="G15" s="73">
        <v>46192</v>
      </c>
      <c r="H15" s="18">
        <v>7380</v>
      </c>
      <c r="I15" s="17" t="s">
        <v>69</v>
      </c>
      <c r="J15" s="4" t="s">
        <v>165</v>
      </c>
      <c r="K15" s="4" t="s">
        <v>219</v>
      </c>
      <c r="L15" s="17"/>
      <c r="M15" s="85" t="s">
        <v>57</v>
      </c>
      <c r="N15" s="18">
        <v>3000</v>
      </c>
      <c r="O15" s="17" t="s">
        <v>31</v>
      </c>
      <c r="P15" s="19">
        <f t="shared" si="0"/>
        <v>0.4065040650406504</v>
      </c>
      <c r="Q15" s="19"/>
      <c r="R15" s="4" t="s">
        <v>1252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5000000</v>
      </c>
      <c r="D16" s="3"/>
      <c r="E16" s="60">
        <v>11</v>
      </c>
      <c r="F16" s="17">
        <v>6</v>
      </c>
      <c r="G16" s="73">
        <v>46191</v>
      </c>
      <c r="H16" s="18">
        <v>8670</v>
      </c>
      <c r="I16" s="17" t="s">
        <v>169</v>
      </c>
      <c r="J16" s="4" t="s">
        <v>1253</v>
      </c>
      <c r="K16" s="4" t="s">
        <v>70</v>
      </c>
      <c r="L16" s="41"/>
      <c r="M16" s="102" t="s">
        <v>1254</v>
      </c>
      <c r="N16" s="18">
        <v>1855</v>
      </c>
      <c r="O16" s="17" t="s">
        <v>31</v>
      </c>
      <c r="P16" s="19">
        <f t="shared" si="0"/>
        <v>0.21395617070357556</v>
      </c>
      <c r="Q16" s="19"/>
      <c r="R16" s="4" t="s">
        <v>1255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12</v>
      </c>
      <c r="F21" s="44">
        <v>14</v>
      </c>
      <c r="G21" s="45">
        <v>46200</v>
      </c>
      <c r="H21" s="46">
        <v>6105</v>
      </c>
      <c r="I21" s="46">
        <v>5495</v>
      </c>
      <c r="J21" s="44" t="s">
        <v>226</v>
      </c>
      <c r="K21" s="47">
        <v>0.63</v>
      </c>
      <c r="L21" s="47"/>
      <c r="M21" s="49" t="s">
        <v>1256</v>
      </c>
      <c r="N21" s="88" t="s">
        <v>224</v>
      </c>
      <c r="O21" s="50" t="s">
        <v>1257</v>
      </c>
      <c r="P21" s="44"/>
      <c r="Q21" s="46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13</v>
      </c>
      <c r="F22" s="44">
        <v>12</v>
      </c>
      <c r="G22" s="45">
        <v>46199</v>
      </c>
      <c r="H22" s="46">
        <v>6175</v>
      </c>
      <c r="I22" s="46">
        <v>5558</v>
      </c>
      <c r="J22" s="44" t="s">
        <v>88</v>
      </c>
      <c r="K22" s="47">
        <v>0.71</v>
      </c>
      <c r="L22" s="47">
        <v>0.01</v>
      </c>
      <c r="M22" s="49" t="s">
        <v>1258</v>
      </c>
      <c r="N22" s="88" t="s">
        <v>274</v>
      </c>
      <c r="O22" s="50" t="s">
        <v>1259</v>
      </c>
      <c r="P22" s="44"/>
      <c r="Q22" s="46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14</v>
      </c>
      <c r="F23" s="44">
        <v>11</v>
      </c>
      <c r="G23" s="45">
        <v>46198</v>
      </c>
      <c r="H23" s="46">
        <v>2668</v>
      </c>
      <c r="I23" s="46">
        <v>2401</v>
      </c>
      <c r="J23" s="44" t="s">
        <v>92</v>
      </c>
      <c r="K23" s="47">
        <v>0.42</v>
      </c>
      <c r="L23" s="47"/>
      <c r="M23" s="49" t="s">
        <v>1260</v>
      </c>
      <c r="N23" s="88" t="s">
        <v>94</v>
      </c>
      <c r="O23" s="50" t="s">
        <v>1261</v>
      </c>
      <c r="P23" s="44"/>
      <c r="Q23" s="46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15</v>
      </c>
      <c r="F24" s="44">
        <v>10</v>
      </c>
      <c r="G24" s="45">
        <v>46197</v>
      </c>
      <c r="H24" s="46">
        <v>5047</v>
      </c>
      <c r="I24" s="46">
        <v>4542</v>
      </c>
      <c r="J24" s="44" t="s">
        <v>96</v>
      </c>
      <c r="K24" s="47">
        <v>0.84</v>
      </c>
      <c r="L24" s="47"/>
      <c r="M24" s="49" t="s">
        <v>1262</v>
      </c>
      <c r="N24" s="88" t="s">
        <v>1263</v>
      </c>
      <c r="O24" s="50" t="s">
        <v>1264</v>
      </c>
      <c r="P24" s="44"/>
      <c r="Q24" s="46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16</v>
      </c>
      <c r="F25" s="44">
        <v>9</v>
      </c>
      <c r="G25" s="45">
        <v>46196</v>
      </c>
      <c r="H25" s="46">
        <v>4209</v>
      </c>
      <c r="I25" s="46">
        <v>3788</v>
      </c>
      <c r="J25" s="44" t="s">
        <v>102</v>
      </c>
      <c r="K25" s="47">
        <v>0.91</v>
      </c>
      <c r="L25" s="47">
        <v>0.01</v>
      </c>
      <c r="M25" s="49" t="s">
        <v>1265</v>
      </c>
      <c r="N25" s="88" t="s">
        <v>98</v>
      </c>
      <c r="O25" s="50" t="s">
        <v>1266</v>
      </c>
      <c r="P25" s="44"/>
      <c r="Q25" s="46"/>
      <c r="R25" s="46" t="s">
        <v>100</v>
      </c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16</v>
      </c>
      <c r="F26" s="44">
        <v>8</v>
      </c>
      <c r="G26" s="45">
        <v>46196</v>
      </c>
      <c r="H26" s="46">
        <v>4366</v>
      </c>
      <c r="I26" s="46">
        <v>3929</v>
      </c>
      <c r="J26" s="44" t="s">
        <v>102</v>
      </c>
      <c r="K26" s="47">
        <v>0.91</v>
      </c>
      <c r="L26" s="47"/>
      <c r="M26" s="49" t="s">
        <v>1267</v>
      </c>
      <c r="N26" s="88" t="s">
        <v>1268</v>
      </c>
      <c r="O26" s="50" t="s">
        <v>1033</v>
      </c>
      <c r="P26" s="46">
        <v>2983</v>
      </c>
      <c r="Q26" s="52">
        <f>P26/H26</f>
        <v>0.68323408153916632</v>
      </c>
      <c r="R26" s="46" t="s">
        <v>106</v>
      </c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17</v>
      </c>
      <c r="F27" s="44">
        <v>7</v>
      </c>
      <c r="G27" s="45">
        <v>46195</v>
      </c>
      <c r="H27" s="46">
        <v>3208</v>
      </c>
      <c r="I27" s="46">
        <v>2887</v>
      </c>
      <c r="J27" s="44" t="s">
        <v>107</v>
      </c>
      <c r="K27" s="47">
        <v>0.35</v>
      </c>
      <c r="L27" s="47"/>
      <c r="M27" s="49" t="s">
        <v>1151</v>
      </c>
      <c r="N27" s="88" t="s">
        <v>459</v>
      </c>
      <c r="O27" s="50" t="s">
        <v>1233</v>
      </c>
      <c r="P27" s="44"/>
      <c r="Q27" s="46"/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18</v>
      </c>
      <c r="F28" s="44">
        <v>6</v>
      </c>
      <c r="G28" s="45">
        <v>46194</v>
      </c>
      <c r="H28" s="46">
        <v>6528</v>
      </c>
      <c r="I28" s="46">
        <v>5875</v>
      </c>
      <c r="J28" s="44" t="s">
        <v>282</v>
      </c>
      <c r="K28" s="47">
        <v>0.68</v>
      </c>
      <c r="L28" s="47">
        <v>0.01</v>
      </c>
      <c r="M28" s="49" t="s">
        <v>1269</v>
      </c>
      <c r="N28" s="88" t="s">
        <v>502</v>
      </c>
      <c r="O28" s="50" t="s">
        <v>1270</v>
      </c>
      <c r="P28" s="46">
        <v>2212</v>
      </c>
      <c r="Q28" s="52">
        <f>P28/H28</f>
        <v>0.33884803921568629</v>
      </c>
      <c r="R28" s="46" t="s">
        <v>106</v>
      </c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M29" s="4"/>
      <c r="N29" s="4"/>
      <c r="O29" s="4"/>
      <c r="P29" s="4"/>
      <c r="Q29" s="4"/>
      <c r="R29" s="4"/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E32" s="55" t="s">
        <v>110</v>
      </c>
      <c r="I32" s="56" t="s">
        <v>76</v>
      </c>
      <c r="J32" s="105" t="s">
        <v>111</v>
      </c>
      <c r="K32" s="106"/>
      <c r="L32" s="107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E33" s="58" t="s">
        <v>112</v>
      </c>
      <c r="F33" s="89"/>
      <c r="G33" s="17" t="s">
        <v>151</v>
      </c>
      <c r="H33" s="4"/>
      <c r="I33" s="3"/>
      <c r="J33" s="59" t="s">
        <v>114</v>
      </c>
      <c r="K33" s="59" t="s">
        <v>115</v>
      </c>
      <c r="L33" s="59" t="s">
        <v>116</v>
      </c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3"/>
      <c r="F34" s="42"/>
      <c r="G34" s="17"/>
      <c r="H34" s="3"/>
      <c r="I34" s="3"/>
      <c r="J34" s="3" t="s">
        <v>117</v>
      </c>
      <c r="K34" s="53"/>
      <c r="L34" s="3" t="s">
        <v>1043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3" t="s">
        <v>118</v>
      </c>
      <c r="F35" s="17"/>
      <c r="G35" s="89"/>
      <c r="H35" s="3"/>
      <c r="I35" s="3"/>
      <c r="J35" s="3"/>
      <c r="K35" s="4"/>
      <c r="L35" s="53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17" t="s">
        <v>119</v>
      </c>
      <c r="F36" s="17">
        <v>0</v>
      </c>
      <c r="G36" s="17"/>
      <c r="H36" s="3"/>
      <c r="I36" s="3"/>
      <c r="J36" s="3" t="s">
        <v>120</v>
      </c>
      <c r="K36" s="53"/>
      <c r="L36" s="53">
        <v>0.09</v>
      </c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17" t="s">
        <v>122</v>
      </c>
      <c r="F37" s="17">
        <v>0</v>
      </c>
      <c r="G37" s="17"/>
      <c r="H37" s="53"/>
      <c r="I37" s="3"/>
      <c r="J37" s="3"/>
      <c r="K37" s="3"/>
      <c r="L37" s="53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5"/>
      <c r="F38" s="17"/>
      <c r="G38" s="17"/>
      <c r="H38" s="53"/>
      <c r="I38" s="3"/>
      <c r="J38" s="3"/>
      <c r="K38" s="3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55" t="s">
        <v>123</v>
      </c>
      <c r="F39" s="17"/>
      <c r="G39" s="17"/>
      <c r="H39" s="53"/>
      <c r="I39" s="3"/>
      <c r="J39" s="3"/>
      <c r="K39" s="17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61" t="s">
        <v>124</v>
      </c>
      <c r="F40" s="17">
        <v>0</v>
      </c>
      <c r="G40" s="17"/>
      <c r="H40" s="3"/>
      <c r="I40" s="3"/>
      <c r="J40" s="62"/>
      <c r="K40" s="17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61" t="s">
        <v>125</v>
      </c>
      <c r="F41" s="17">
        <v>0</v>
      </c>
      <c r="G41" s="17"/>
      <c r="H41" s="3"/>
      <c r="I41" s="3"/>
      <c r="J41" s="63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3"/>
      <c r="F42" s="3"/>
      <c r="G42" s="3"/>
      <c r="H42" s="3"/>
      <c r="I42" s="3"/>
      <c r="J42" s="64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55" t="s">
        <v>126</v>
      </c>
      <c r="F43" s="55"/>
      <c r="G43" s="3"/>
      <c r="H43" s="3"/>
      <c r="J43" s="4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65" t="s">
        <v>20</v>
      </c>
      <c r="F44" s="65" t="s">
        <v>127</v>
      </c>
      <c r="G44" s="65" t="s">
        <v>128</v>
      </c>
      <c r="H44" s="65" t="s">
        <v>129</v>
      </c>
      <c r="I44" s="65" t="s">
        <v>87</v>
      </c>
      <c r="J44" s="4"/>
      <c r="K44" s="4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66" t="s">
        <v>337</v>
      </c>
      <c r="F45" s="67">
        <v>1120</v>
      </c>
      <c r="G45" s="68">
        <v>0</v>
      </c>
      <c r="H45" s="69" t="s">
        <v>131</v>
      </c>
      <c r="I45" s="68"/>
      <c r="J45" s="4"/>
      <c r="K45" s="4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70" t="s">
        <v>338</v>
      </c>
      <c r="F46" s="67">
        <v>236</v>
      </c>
      <c r="G46" s="68">
        <v>0</v>
      </c>
      <c r="H46" s="69" t="s">
        <v>131</v>
      </c>
      <c r="I46" s="68" t="s">
        <v>133</v>
      </c>
      <c r="J46" s="4"/>
      <c r="K46" s="4"/>
      <c r="L46" s="53"/>
      <c r="M46" s="73"/>
      <c r="N46" s="18"/>
      <c r="O46" s="18"/>
      <c r="P46" s="17"/>
      <c r="Q46" s="74"/>
      <c r="R46" s="53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70" t="s">
        <v>340</v>
      </c>
      <c r="F47" s="67">
        <v>327</v>
      </c>
      <c r="G47" s="68">
        <v>0</v>
      </c>
      <c r="H47" s="69" t="s">
        <v>131</v>
      </c>
      <c r="I47" s="68" t="s">
        <v>135</v>
      </c>
      <c r="J47" s="4"/>
      <c r="K47" s="4"/>
      <c r="L47" s="53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66" t="s">
        <v>341</v>
      </c>
      <c r="F48" s="71">
        <v>320</v>
      </c>
      <c r="G48" s="72"/>
      <c r="H48" s="69" t="s">
        <v>131</v>
      </c>
      <c r="I48" s="68"/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70" t="s">
        <v>803</v>
      </c>
      <c r="F49" s="71">
        <v>108</v>
      </c>
      <c r="G49" s="72"/>
      <c r="H49" s="69" t="s">
        <v>131</v>
      </c>
      <c r="I49" s="68" t="s">
        <v>40</v>
      </c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344</v>
      </c>
      <c r="F50" s="71">
        <v>110</v>
      </c>
      <c r="G50" s="72"/>
      <c r="H50" s="69" t="s">
        <v>131</v>
      </c>
      <c r="I50" s="68" t="s">
        <v>1271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4"/>
      <c r="G51" s="4"/>
      <c r="H51" s="4"/>
      <c r="I51" s="4"/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66"/>
      <c r="F52" s="4" t="s">
        <v>140</v>
      </c>
      <c r="G52" s="4"/>
      <c r="H52" s="4"/>
      <c r="I52" s="4"/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70"/>
      <c r="F53" s="4" t="s">
        <v>141</v>
      </c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75"/>
      <c r="F54" s="4" t="s">
        <v>142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6"/>
      <c r="F55" s="4" t="s">
        <v>143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E72" s="4"/>
      <c r="F72" s="4"/>
      <c r="G72" s="4"/>
      <c r="H72" s="4"/>
      <c r="I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2:L32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46202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142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17</v>
      </c>
      <c r="G6" s="73">
        <v>46202</v>
      </c>
      <c r="H6" s="18">
        <v>9862</v>
      </c>
      <c r="I6" s="17" t="s">
        <v>28</v>
      </c>
      <c r="J6" s="4" t="s">
        <v>29</v>
      </c>
      <c r="K6" s="4" t="s">
        <v>538</v>
      </c>
      <c r="L6" s="17">
        <v>0</v>
      </c>
      <c r="M6" s="86"/>
      <c r="N6" s="18">
        <v>9862</v>
      </c>
      <c r="O6" s="17" t="s">
        <v>31</v>
      </c>
      <c r="P6" s="19">
        <f t="shared" ref="P6:P16" si="0">N6/H6</f>
        <v>1</v>
      </c>
      <c r="Q6" s="19">
        <v>0.04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16</v>
      </c>
      <c r="G7" s="73">
        <v>46201</v>
      </c>
      <c r="H7" s="18">
        <v>7582</v>
      </c>
      <c r="I7" s="17" t="s">
        <v>37</v>
      </c>
      <c r="J7" s="4" t="s">
        <v>38</v>
      </c>
      <c r="K7" s="4" t="s">
        <v>38</v>
      </c>
      <c r="L7" s="17"/>
      <c r="M7" s="17" t="s">
        <v>151</v>
      </c>
      <c r="N7" s="18">
        <v>7582</v>
      </c>
      <c r="O7" s="17" t="s">
        <v>31</v>
      </c>
      <c r="P7" s="19">
        <f t="shared" si="0"/>
        <v>1</v>
      </c>
      <c r="Q7" s="19">
        <v>0.09</v>
      </c>
      <c r="R7" s="4"/>
      <c r="S7" s="17" t="s">
        <v>475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121</v>
      </c>
      <c r="B8" s="18">
        <v>186000</v>
      </c>
      <c r="C8" s="95">
        <v>0.73</v>
      </c>
      <c r="D8" s="3"/>
      <c r="E8" s="60">
        <v>3</v>
      </c>
      <c r="F8" s="17">
        <v>15</v>
      </c>
      <c r="G8" s="73">
        <v>46200</v>
      </c>
      <c r="H8" s="18">
        <v>8111</v>
      </c>
      <c r="I8" s="17" t="s">
        <v>42</v>
      </c>
      <c r="J8" s="4" t="s">
        <v>43</v>
      </c>
      <c r="K8" s="4" t="s">
        <v>43</v>
      </c>
      <c r="L8" s="17"/>
      <c r="M8" s="17" t="s">
        <v>1272</v>
      </c>
      <c r="N8" s="18">
        <v>7000</v>
      </c>
      <c r="O8" s="17" t="s">
        <v>31</v>
      </c>
      <c r="P8" s="19">
        <f t="shared" si="0"/>
        <v>0.86302552089754658</v>
      </c>
      <c r="Q8" s="19">
        <v>0.05</v>
      </c>
      <c r="R8" s="4" t="s">
        <v>1273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14</v>
      </c>
      <c r="G9" s="73">
        <v>46199</v>
      </c>
      <c r="H9" s="18">
        <v>8100</v>
      </c>
      <c r="I9" s="17" t="s">
        <v>154</v>
      </c>
      <c r="J9" s="4" t="s">
        <v>1238</v>
      </c>
      <c r="K9" s="4" t="s">
        <v>1274</v>
      </c>
      <c r="L9" s="17"/>
      <c r="M9" s="17" t="s">
        <v>151</v>
      </c>
      <c r="N9" s="18">
        <v>6500</v>
      </c>
      <c r="O9" s="17" t="s">
        <v>31</v>
      </c>
      <c r="P9" s="19">
        <f t="shared" si="0"/>
        <v>0.80246913580246915</v>
      </c>
      <c r="Q9" s="19">
        <v>0.04</v>
      </c>
      <c r="R9" s="4" t="s">
        <v>211</v>
      </c>
      <c r="S9" s="17" t="s">
        <v>349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13</v>
      </c>
      <c r="G10" s="73">
        <v>46198</v>
      </c>
      <c r="H10" s="18">
        <v>9116</v>
      </c>
      <c r="I10" s="17" t="s">
        <v>212</v>
      </c>
      <c r="J10" s="4" t="s">
        <v>1275</v>
      </c>
      <c r="K10" s="4" t="s">
        <v>1276</v>
      </c>
      <c r="L10" s="17"/>
      <c r="M10" s="17"/>
      <c r="N10" s="18">
        <v>6500</v>
      </c>
      <c r="O10" s="17" t="s">
        <v>31</v>
      </c>
      <c r="P10" s="19">
        <f t="shared" si="0"/>
        <v>0.71303203159280382</v>
      </c>
      <c r="Q10" s="19">
        <v>0.05</v>
      </c>
      <c r="R10" s="4" t="s">
        <v>157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</v>
      </c>
      <c r="B11" s="18">
        <v>139000</v>
      </c>
      <c r="C11" s="92"/>
      <c r="D11" s="3"/>
      <c r="E11" s="60">
        <v>6</v>
      </c>
      <c r="F11" s="17">
        <v>12</v>
      </c>
      <c r="G11" s="73">
        <v>46197</v>
      </c>
      <c r="H11" s="18">
        <v>10035</v>
      </c>
      <c r="I11" s="17" t="s">
        <v>47</v>
      </c>
      <c r="J11" s="4" t="s">
        <v>1277</v>
      </c>
      <c r="K11" s="4" t="s">
        <v>1278</v>
      </c>
      <c r="L11" s="17"/>
      <c r="M11" s="17"/>
      <c r="N11" s="18">
        <v>6078</v>
      </c>
      <c r="O11" s="17" t="s">
        <v>31</v>
      </c>
      <c r="P11" s="19">
        <f t="shared" si="0"/>
        <v>0.60568011958146484</v>
      </c>
      <c r="Q11" s="19">
        <v>0.12</v>
      </c>
      <c r="R11" s="4" t="s">
        <v>45</v>
      </c>
      <c r="S11" s="17" t="s">
        <v>46</v>
      </c>
      <c r="T11" s="17"/>
      <c r="U11" s="17" t="s">
        <v>967</v>
      </c>
      <c r="V11" s="17" t="s">
        <v>967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11</v>
      </c>
      <c r="G12" s="73">
        <v>46196</v>
      </c>
      <c r="H12" s="18">
        <v>8235</v>
      </c>
      <c r="I12" s="17" t="s">
        <v>54</v>
      </c>
      <c r="J12" s="4" t="s">
        <v>1279</v>
      </c>
      <c r="K12" s="4" t="s">
        <v>1280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0.60716454159077105</v>
      </c>
      <c r="Q12" s="19">
        <v>0.06</v>
      </c>
      <c r="R12" s="4" t="s">
        <v>1281</v>
      </c>
      <c r="S12" s="17" t="s">
        <v>349</v>
      </c>
      <c r="T12" s="17"/>
      <c r="U12" s="17" t="s">
        <v>967</v>
      </c>
      <c r="V12" s="17" t="s">
        <v>967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16657500</v>
      </c>
      <c r="D13" s="3"/>
      <c r="E13" s="60">
        <v>8</v>
      </c>
      <c r="F13" s="17">
        <v>10</v>
      </c>
      <c r="G13" s="73">
        <v>46195</v>
      </c>
      <c r="H13" s="18">
        <v>8171</v>
      </c>
      <c r="I13" s="17" t="s">
        <v>59</v>
      </c>
      <c r="J13" s="4" t="s">
        <v>1282</v>
      </c>
      <c r="K13" s="4" t="s">
        <v>1283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0.61192020560518912</v>
      </c>
      <c r="Q13" s="19">
        <v>0.04</v>
      </c>
      <c r="R13" s="4" t="s">
        <v>1284</v>
      </c>
      <c r="S13" s="17"/>
      <c r="T13" s="17"/>
      <c r="U13" s="17" t="s">
        <v>967</v>
      </c>
      <c r="V13" s="17" t="s">
        <v>967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12761250</v>
      </c>
      <c r="D14" s="3"/>
      <c r="E14" s="60">
        <v>9</v>
      </c>
      <c r="F14" s="17">
        <v>9</v>
      </c>
      <c r="G14" s="73">
        <v>46194</v>
      </c>
      <c r="H14" s="18">
        <v>7623</v>
      </c>
      <c r="I14" s="17" t="s">
        <v>64</v>
      </c>
      <c r="J14" s="4" t="s">
        <v>66</v>
      </c>
      <c r="K14" s="4" t="s">
        <v>71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0.65590974681883774</v>
      </c>
      <c r="Q14" s="19"/>
      <c r="R14" s="4" t="s">
        <v>1285</v>
      </c>
      <c r="S14" s="17"/>
      <c r="T14" s="17"/>
      <c r="U14" s="17" t="s">
        <v>967</v>
      </c>
      <c r="V14" s="17" t="s">
        <v>967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8</v>
      </c>
      <c r="G15" s="73">
        <v>46193</v>
      </c>
      <c r="H15" s="18">
        <v>7946</v>
      </c>
      <c r="I15" s="17" t="s">
        <v>69</v>
      </c>
      <c r="J15" s="4" t="s">
        <v>70</v>
      </c>
      <c r="K15" s="4" t="s">
        <v>70</v>
      </c>
      <c r="L15" s="17"/>
      <c r="M15" s="85" t="s">
        <v>57</v>
      </c>
      <c r="N15" s="18">
        <v>5500</v>
      </c>
      <c r="O15" s="17" t="s">
        <v>31</v>
      </c>
      <c r="P15" s="19">
        <f t="shared" si="0"/>
        <v>0.69217216209413546</v>
      </c>
      <c r="Q15" s="19">
        <v>0.03</v>
      </c>
      <c r="R15" s="4" t="s">
        <v>1286</v>
      </c>
      <c r="S15" s="17"/>
      <c r="T15" s="17"/>
      <c r="U15" s="17">
        <v>1</v>
      </c>
      <c r="V15" s="17">
        <v>1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3500000</v>
      </c>
      <c r="D16" s="3"/>
      <c r="E16" s="60">
        <v>11</v>
      </c>
      <c r="F16" s="17">
        <v>7</v>
      </c>
      <c r="G16" s="73">
        <v>46192</v>
      </c>
      <c r="H16" s="18">
        <v>7380</v>
      </c>
      <c r="I16" s="17" t="s">
        <v>169</v>
      </c>
      <c r="J16" s="4" t="s">
        <v>221</v>
      </c>
      <c r="K16" s="4" t="s">
        <v>71</v>
      </c>
      <c r="L16" s="41"/>
      <c r="M16" s="85" t="s">
        <v>170</v>
      </c>
      <c r="N16" s="18">
        <v>3170</v>
      </c>
      <c r="O16" s="17" t="s">
        <v>31</v>
      </c>
      <c r="P16" s="19">
        <f t="shared" si="0"/>
        <v>0.42953929539295393</v>
      </c>
      <c r="Q16" s="19"/>
      <c r="R16" s="4" t="s">
        <v>1287</v>
      </c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15</v>
      </c>
      <c r="G21" s="45">
        <v>46202</v>
      </c>
      <c r="H21" s="46">
        <v>3170</v>
      </c>
      <c r="I21" s="46">
        <v>2853</v>
      </c>
      <c r="J21" s="44" t="s">
        <v>169</v>
      </c>
      <c r="K21" s="47">
        <v>0.43</v>
      </c>
      <c r="L21" s="47"/>
      <c r="M21" s="49"/>
      <c r="N21" s="88" t="s">
        <v>1288</v>
      </c>
      <c r="O21" s="50" t="s">
        <v>1289</v>
      </c>
      <c r="P21" s="44"/>
      <c r="Q21" s="46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13</v>
      </c>
      <c r="F22" s="44">
        <v>14</v>
      </c>
      <c r="G22" s="45">
        <v>46200</v>
      </c>
      <c r="H22" s="46">
        <v>6105</v>
      </c>
      <c r="I22" s="46">
        <v>5495</v>
      </c>
      <c r="J22" s="44" t="s">
        <v>88</v>
      </c>
      <c r="K22" s="47">
        <v>0.63</v>
      </c>
      <c r="L22" s="47">
        <v>0.01</v>
      </c>
      <c r="M22" s="49" t="s">
        <v>1260</v>
      </c>
      <c r="N22" s="88" t="s">
        <v>370</v>
      </c>
      <c r="O22" s="50" t="s">
        <v>1290</v>
      </c>
      <c r="P22" s="44"/>
      <c r="Q22" s="46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14</v>
      </c>
      <c r="F23" s="44">
        <v>12</v>
      </c>
      <c r="G23" s="45">
        <v>46199</v>
      </c>
      <c r="H23" s="46">
        <v>6175</v>
      </c>
      <c r="I23" s="46">
        <v>5558</v>
      </c>
      <c r="J23" s="44" t="s">
        <v>92</v>
      </c>
      <c r="K23" s="47">
        <v>0.71</v>
      </c>
      <c r="L23" s="47"/>
      <c r="M23" s="49" t="s">
        <v>1028</v>
      </c>
      <c r="N23" s="88" t="s">
        <v>454</v>
      </c>
      <c r="O23" s="50" t="s">
        <v>904</v>
      </c>
      <c r="P23" s="44"/>
      <c r="Q23" s="46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15</v>
      </c>
      <c r="F24" s="44">
        <v>11</v>
      </c>
      <c r="G24" s="45">
        <v>46198</v>
      </c>
      <c r="H24" s="46">
        <v>2668</v>
      </c>
      <c r="I24" s="46">
        <v>2401</v>
      </c>
      <c r="J24" s="44" t="s">
        <v>96</v>
      </c>
      <c r="K24" s="47">
        <v>0.42</v>
      </c>
      <c r="L24" s="47"/>
      <c r="M24" s="49" t="s">
        <v>1291</v>
      </c>
      <c r="N24" s="88" t="s">
        <v>497</v>
      </c>
      <c r="O24" s="50" t="s">
        <v>960</v>
      </c>
      <c r="P24" s="44"/>
      <c r="Q24" s="46"/>
      <c r="R24" s="46" t="s">
        <v>100</v>
      </c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16</v>
      </c>
      <c r="F25" s="44">
        <v>10</v>
      </c>
      <c r="G25" s="45">
        <v>46197</v>
      </c>
      <c r="H25" s="46">
        <v>5047</v>
      </c>
      <c r="I25" s="46">
        <v>4542</v>
      </c>
      <c r="J25" s="44" t="s">
        <v>102</v>
      </c>
      <c r="K25" s="47">
        <v>0.84</v>
      </c>
      <c r="L25" s="47"/>
      <c r="M25" s="49" t="s">
        <v>319</v>
      </c>
      <c r="N25" s="88" t="s">
        <v>1114</v>
      </c>
      <c r="O25" s="50" t="s">
        <v>1292</v>
      </c>
      <c r="P25" s="44"/>
      <c r="Q25" s="46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17</v>
      </c>
      <c r="F26" s="44">
        <v>9</v>
      </c>
      <c r="G26" s="45">
        <v>46196</v>
      </c>
      <c r="H26" s="46">
        <v>4209</v>
      </c>
      <c r="I26" s="46">
        <v>3788</v>
      </c>
      <c r="J26" s="44" t="s">
        <v>107</v>
      </c>
      <c r="K26" s="47">
        <v>0.91</v>
      </c>
      <c r="L26" s="47"/>
      <c r="M26" s="49" t="s">
        <v>1293</v>
      </c>
      <c r="N26" s="88" t="s">
        <v>1294</v>
      </c>
      <c r="O26" s="50" t="s">
        <v>1295</v>
      </c>
      <c r="P26" s="44"/>
      <c r="Q26" s="46"/>
      <c r="R26" s="46" t="s">
        <v>100</v>
      </c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17</v>
      </c>
      <c r="F27" s="44">
        <v>8</v>
      </c>
      <c r="G27" s="45">
        <v>46196</v>
      </c>
      <c r="H27" s="46">
        <v>4366</v>
      </c>
      <c r="I27" s="46">
        <v>3929</v>
      </c>
      <c r="J27" s="44" t="s">
        <v>107</v>
      </c>
      <c r="K27" s="47">
        <v>0.91</v>
      </c>
      <c r="L27" s="47"/>
      <c r="M27" s="49"/>
      <c r="N27" s="88" t="s">
        <v>381</v>
      </c>
      <c r="O27" s="50" t="s">
        <v>381</v>
      </c>
      <c r="P27" s="46">
        <v>4055</v>
      </c>
      <c r="Q27" s="52">
        <f>P27/H27</f>
        <v>0.92876775080164908</v>
      </c>
      <c r="R27" s="46"/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18</v>
      </c>
      <c r="F28" s="44">
        <v>7</v>
      </c>
      <c r="G28" s="45">
        <v>46195</v>
      </c>
      <c r="H28" s="46">
        <v>3208</v>
      </c>
      <c r="I28" s="46">
        <v>2887</v>
      </c>
      <c r="J28" s="44" t="s">
        <v>282</v>
      </c>
      <c r="K28" s="47">
        <v>0.35</v>
      </c>
      <c r="L28" s="47"/>
      <c r="M28" s="49" t="s">
        <v>1296</v>
      </c>
      <c r="N28" s="88" t="s">
        <v>502</v>
      </c>
      <c r="O28" s="50" t="s">
        <v>1297</v>
      </c>
      <c r="P28" s="44"/>
      <c r="Q28" s="46"/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19</v>
      </c>
      <c r="F29" s="44">
        <v>6</v>
      </c>
      <c r="G29" s="45">
        <v>46194</v>
      </c>
      <c r="H29" s="46">
        <v>6528</v>
      </c>
      <c r="I29" s="46">
        <v>5875</v>
      </c>
      <c r="J29" s="44" t="s">
        <v>331</v>
      </c>
      <c r="K29" s="47">
        <v>0.68</v>
      </c>
      <c r="L29" s="47"/>
      <c r="M29" s="49"/>
      <c r="N29" s="88" t="s">
        <v>600</v>
      </c>
      <c r="O29" s="50" t="s">
        <v>1298</v>
      </c>
      <c r="P29" s="46">
        <v>4494</v>
      </c>
      <c r="Q29" s="52">
        <f>P29/H29</f>
        <v>0.68841911764705888</v>
      </c>
      <c r="R29" s="46" t="s">
        <v>106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E33" s="55" t="s">
        <v>110</v>
      </c>
      <c r="I33" s="56" t="s">
        <v>76</v>
      </c>
      <c r="J33" s="105" t="s">
        <v>111</v>
      </c>
      <c r="K33" s="106"/>
      <c r="L33" s="107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8" t="s">
        <v>112</v>
      </c>
      <c r="F34" s="89"/>
      <c r="G34" s="17" t="s">
        <v>151</v>
      </c>
      <c r="H34" s="4"/>
      <c r="I34" s="3"/>
      <c r="J34" s="59" t="s">
        <v>114</v>
      </c>
      <c r="K34" s="59" t="s">
        <v>115</v>
      </c>
      <c r="L34" s="59" t="s">
        <v>116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3"/>
      <c r="F35" s="42"/>
      <c r="G35" s="17"/>
      <c r="H35" s="3"/>
      <c r="I35" s="3"/>
      <c r="J35" s="3" t="s">
        <v>117</v>
      </c>
      <c r="K35" s="53"/>
      <c r="L35" s="3" t="s">
        <v>1236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 t="s">
        <v>118</v>
      </c>
      <c r="F36" s="17"/>
      <c r="G36" s="89"/>
      <c r="H36" s="3"/>
      <c r="I36" s="3"/>
      <c r="J36" s="3"/>
      <c r="K36" s="4"/>
      <c r="L36" s="53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17" t="s">
        <v>119</v>
      </c>
      <c r="F37" s="17">
        <v>0</v>
      </c>
      <c r="G37" s="17"/>
      <c r="H37" s="3"/>
      <c r="I37" s="3"/>
      <c r="J37" s="3" t="s">
        <v>120</v>
      </c>
      <c r="K37" s="53"/>
      <c r="L37" s="53">
        <v>0.08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122</v>
      </c>
      <c r="F38" s="17">
        <v>0</v>
      </c>
      <c r="G38" s="17"/>
      <c r="H38" s="53"/>
      <c r="I38" s="3"/>
      <c r="J38" s="3"/>
      <c r="K38" s="3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5"/>
      <c r="F39" s="17"/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5" t="s">
        <v>123</v>
      </c>
      <c r="F40" s="17"/>
      <c r="G40" s="17"/>
      <c r="H40" s="53"/>
      <c r="I40" s="3"/>
      <c r="J40" s="3"/>
      <c r="K40" s="17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61" t="s">
        <v>124</v>
      </c>
      <c r="F41" s="17">
        <v>0</v>
      </c>
      <c r="G41" s="17"/>
      <c r="H41" s="3"/>
      <c r="I41" s="3"/>
      <c r="J41" s="62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125</v>
      </c>
      <c r="F42" s="17">
        <v>0</v>
      </c>
      <c r="G42" s="17"/>
      <c r="H42" s="3"/>
      <c r="I42" s="3"/>
      <c r="J42" s="63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3"/>
      <c r="F43" s="3"/>
      <c r="G43" s="3"/>
      <c r="H43" s="3"/>
      <c r="I43" s="3"/>
      <c r="J43" s="64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55" t="s">
        <v>126</v>
      </c>
      <c r="F44" s="55"/>
      <c r="G44" s="3"/>
      <c r="H44" s="3"/>
      <c r="J44" s="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65" t="s">
        <v>20</v>
      </c>
      <c r="F45" s="65" t="s">
        <v>127</v>
      </c>
      <c r="G45" s="65" t="s">
        <v>128</v>
      </c>
      <c r="H45" s="65" t="s">
        <v>129</v>
      </c>
      <c r="I45" s="65" t="s">
        <v>87</v>
      </c>
      <c r="J45" s="4"/>
      <c r="K45" s="4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6" t="s">
        <v>389</v>
      </c>
      <c r="F46" s="67">
        <v>960</v>
      </c>
      <c r="G46" s="68">
        <v>0</v>
      </c>
      <c r="H46" s="69" t="s">
        <v>131</v>
      </c>
      <c r="I46" s="68" t="s">
        <v>40</v>
      </c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70" t="s">
        <v>390</v>
      </c>
      <c r="F47" s="67">
        <v>260</v>
      </c>
      <c r="G47" s="68">
        <v>0</v>
      </c>
      <c r="H47" s="69" t="s">
        <v>131</v>
      </c>
      <c r="I47" s="68" t="s">
        <v>465</v>
      </c>
      <c r="J47" s="4"/>
      <c r="K47" s="4"/>
      <c r="L47" s="53"/>
      <c r="M47" s="73"/>
      <c r="N47" s="18"/>
      <c r="O47" s="18"/>
      <c r="P47" s="17"/>
      <c r="Q47" s="74"/>
      <c r="R47" s="53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391</v>
      </c>
      <c r="F48" s="67">
        <v>145</v>
      </c>
      <c r="G48" s="68">
        <v>0</v>
      </c>
      <c r="H48" s="69" t="s">
        <v>131</v>
      </c>
      <c r="I48" s="68" t="s">
        <v>198</v>
      </c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66" t="s">
        <v>392</v>
      </c>
      <c r="F49" s="71">
        <v>480</v>
      </c>
      <c r="G49" s="72"/>
      <c r="H49" s="69" t="s">
        <v>131</v>
      </c>
      <c r="I49" s="68"/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835</v>
      </c>
      <c r="F50" s="71">
        <v>107</v>
      </c>
      <c r="G50" s="72"/>
      <c r="H50" s="69" t="s">
        <v>131</v>
      </c>
      <c r="I50" s="68" t="s">
        <v>1299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394</v>
      </c>
      <c r="F51" s="71">
        <v>125</v>
      </c>
      <c r="G51" s="72"/>
      <c r="H51" s="69" t="s">
        <v>131</v>
      </c>
      <c r="I51" s="68" t="s">
        <v>1300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4"/>
      <c r="G52" s="4"/>
      <c r="H52" s="4"/>
      <c r="I52" s="4"/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66"/>
      <c r="F53" s="4" t="s">
        <v>140</v>
      </c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70"/>
      <c r="F54" s="4" t="s">
        <v>141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5"/>
      <c r="F55" s="4" t="s">
        <v>142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6"/>
      <c r="F56" s="4" t="s">
        <v>143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3:L33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001"/>
  <sheetViews>
    <sheetView workbookViewId="0"/>
  </sheetViews>
  <sheetFormatPr baseColWidth="10" defaultColWidth="14.3984375" defaultRowHeight="15" customHeight="1" x14ac:dyDescent="0.2"/>
  <cols>
    <col min="1" max="1" width="14.796875" customWidth="1"/>
    <col min="2" max="2" width="13.3984375" customWidth="1"/>
    <col min="3" max="3" width="13.19921875" customWidth="1"/>
    <col min="4" max="4" width="5.19921875" customWidth="1"/>
    <col min="5" max="5" width="18.3984375" customWidth="1"/>
    <col min="6" max="6" width="8.59765625" customWidth="1"/>
    <col min="7" max="7" width="13.19921875" customWidth="1"/>
    <col min="8" max="8" width="8.796875" customWidth="1"/>
    <col min="9" max="9" width="39" customWidth="1"/>
    <col min="10" max="11" width="32.796875" customWidth="1"/>
    <col min="12" max="12" width="13.3984375" customWidth="1"/>
    <col min="13" max="13" width="73" customWidth="1"/>
    <col min="14" max="14" width="20" customWidth="1"/>
    <col min="15" max="16" width="13.19921875" customWidth="1"/>
    <col min="17" max="17" width="11.19921875" customWidth="1"/>
    <col min="18" max="18" width="37.59765625" customWidth="1"/>
    <col min="19" max="19" width="38.796875" customWidth="1"/>
    <col min="20" max="20" width="6.59765625" customWidth="1"/>
    <col min="21" max="21" width="5.796875" customWidth="1"/>
    <col min="22" max="22" width="6.3984375" customWidth="1"/>
    <col min="23" max="23" width="7.19921875" customWidth="1"/>
    <col min="24" max="24" width="10.3984375" customWidth="1"/>
    <col min="25" max="25" width="9.3984375" customWidth="1"/>
    <col min="26" max="26" width="7.3984375" customWidth="1"/>
    <col min="27" max="27" width="7" customWidth="1"/>
    <col min="28" max="33" width="4.19921875" customWidth="1"/>
  </cols>
  <sheetData>
    <row r="1" spans="1:33" ht="19.5" customHeight="1" x14ac:dyDescent="0.2">
      <c r="A1" s="1">
        <v>46203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5"/>
      <c r="AA1" s="4"/>
      <c r="AB1" s="4"/>
      <c r="AC1" s="4"/>
      <c r="AD1" s="4"/>
      <c r="AE1" s="4"/>
      <c r="AF1" s="4"/>
      <c r="AG1" s="4"/>
    </row>
    <row r="2" spans="1:33" ht="19.5" customHeight="1" x14ac:dyDescent="0.2">
      <c r="A2" s="3"/>
      <c r="B2" s="3"/>
      <c r="C2" s="3"/>
      <c r="D2" s="3"/>
      <c r="E2" s="3"/>
      <c r="F2" s="3"/>
      <c r="G2" s="3"/>
      <c r="H2" s="3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/>
      <c r="AA2" s="4"/>
      <c r="AB2" s="4"/>
      <c r="AC2" s="4"/>
      <c r="AD2" s="4"/>
      <c r="AE2" s="4"/>
      <c r="AF2" s="4"/>
      <c r="AG2" s="4"/>
    </row>
    <row r="3" spans="1:33" ht="19.5" customHeight="1" x14ac:dyDescent="0.2">
      <c r="A3" s="111" t="s">
        <v>0</v>
      </c>
      <c r="B3" s="112"/>
      <c r="C3" s="113"/>
      <c r="D3" s="3"/>
      <c r="E3" s="116" t="s">
        <v>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16" t="s">
        <v>2</v>
      </c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4"/>
      <c r="AE3" s="4"/>
      <c r="AF3" s="4"/>
      <c r="AG3" s="4"/>
    </row>
    <row r="4" spans="1:33" ht="19.5" customHeight="1" x14ac:dyDescent="0.2">
      <c r="A4" s="90" t="s">
        <v>3</v>
      </c>
      <c r="B4" s="91"/>
      <c r="C4" s="92">
        <v>162</v>
      </c>
      <c r="D4" s="3"/>
      <c r="E4" s="103" t="s">
        <v>4</v>
      </c>
      <c r="F4" s="115" t="s">
        <v>5</v>
      </c>
      <c r="G4" s="106"/>
      <c r="H4" s="106"/>
      <c r="I4" s="107"/>
      <c r="J4" s="119" t="s">
        <v>6</v>
      </c>
      <c r="K4" s="107"/>
      <c r="L4" s="115" t="s">
        <v>7</v>
      </c>
      <c r="M4" s="107"/>
      <c r="N4" s="103" t="s">
        <v>8</v>
      </c>
      <c r="O4" s="103" t="s">
        <v>9</v>
      </c>
      <c r="P4" s="103" t="s">
        <v>10</v>
      </c>
      <c r="Q4" s="103" t="s">
        <v>11</v>
      </c>
      <c r="R4" s="103" t="s">
        <v>12</v>
      </c>
      <c r="S4" s="114" t="s">
        <v>13</v>
      </c>
      <c r="T4" s="115" t="s">
        <v>14</v>
      </c>
      <c r="U4" s="106"/>
      <c r="V4" s="107"/>
      <c r="W4" s="9" t="s">
        <v>15</v>
      </c>
      <c r="X4" s="103" t="s">
        <v>16</v>
      </c>
      <c r="Y4" s="103" t="s">
        <v>17</v>
      </c>
      <c r="Z4" s="115"/>
      <c r="AA4" s="107"/>
      <c r="AB4" s="120"/>
      <c r="AC4" s="107"/>
      <c r="AD4" s="4"/>
      <c r="AE4" s="4"/>
      <c r="AF4" s="4"/>
      <c r="AG4" s="4"/>
    </row>
    <row r="5" spans="1:33" ht="19.5" customHeight="1" x14ac:dyDescent="0.2">
      <c r="A5" s="93" t="s">
        <v>18</v>
      </c>
      <c r="B5" s="17" t="s">
        <v>247</v>
      </c>
      <c r="C5" s="92"/>
      <c r="D5" s="3"/>
      <c r="E5" s="104"/>
      <c r="F5" s="9" t="s">
        <v>20</v>
      </c>
      <c r="G5" s="9" t="s">
        <v>21</v>
      </c>
      <c r="H5" s="9" t="s">
        <v>8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104"/>
      <c r="O5" s="104"/>
      <c r="P5" s="104"/>
      <c r="Q5" s="104"/>
      <c r="R5" s="104"/>
      <c r="S5" s="104"/>
      <c r="T5" s="11">
        <v>0.33333333333333331</v>
      </c>
      <c r="U5" s="11">
        <v>0.58333333333333337</v>
      </c>
      <c r="V5" s="11">
        <v>0.91666666666666663</v>
      </c>
      <c r="W5" s="11" t="s">
        <v>27</v>
      </c>
      <c r="X5" s="104"/>
      <c r="Y5" s="104"/>
      <c r="Z5" s="12">
        <v>0.41666666666666669</v>
      </c>
      <c r="AA5" s="12">
        <v>0.75</v>
      </c>
      <c r="AB5" s="13"/>
      <c r="AC5" s="12"/>
      <c r="AD5" s="4"/>
      <c r="AE5" s="4"/>
      <c r="AF5" s="4"/>
      <c r="AG5" s="4"/>
    </row>
    <row r="6" spans="1:33" ht="19.5" customHeight="1" x14ac:dyDescent="0.2">
      <c r="A6" s="94"/>
      <c r="B6" s="17"/>
      <c r="C6" s="92"/>
      <c r="D6" s="3"/>
      <c r="E6" s="60">
        <v>1</v>
      </c>
      <c r="F6" s="17">
        <v>18</v>
      </c>
      <c r="G6" s="73">
        <v>46203</v>
      </c>
      <c r="H6" s="18">
        <v>9015</v>
      </c>
      <c r="I6" s="17" t="s">
        <v>28</v>
      </c>
      <c r="J6" s="4" t="s">
        <v>29</v>
      </c>
      <c r="K6" s="4" t="s">
        <v>1301</v>
      </c>
      <c r="L6" s="17"/>
      <c r="M6" s="86"/>
      <c r="N6" s="18">
        <v>9015</v>
      </c>
      <c r="O6" s="17" t="s">
        <v>31</v>
      </c>
      <c r="P6" s="19">
        <f t="shared" ref="P6:P16" si="0">N6/H6</f>
        <v>1</v>
      </c>
      <c r="Q6" s="19">
        <v>0.05</v>
      </c>
      <c r="R6" s="4"/>
      <c r="S6" s="17" t="s">
        <v>201</v>
      </c>
      <c r="T6" s="17">
        <v>1</v>
      </c>
      <c r="U6" s="17">
        <v>1</v>
      </c>
      <c r="V6" s="17">
        <v>1</v>
      </c>
      <c r="W6" s="86"/>
      <c r="X6" s="86"/>
      <c r="Y6" s="86"/>
      <c r="Z6" s="17" t="s">
        <v>33</v>
      </c>
      <c r="AA6" s="21" t="s">
        <v>33</v>
      </c>
      <c r="AB6" s="87"/>
      <c r="AC6" s="87"/>
      <c r="AD6" s="4"/>
      <c r="AE6" s="4"/>
      <c r="AF6" s="4"/>
      <c r="AG6" s="4"/>
    </row>
    <row r="7" spans="1:33" ht="19.5" customHeight="1" x14ac:dyDescent="0.2">
      <c r="A7" s="94" t="s">
        <v>34</v>
      </c>
      <c r="B7" s="17" t="s">
        <v>35</v>
      </c>
      <c r="C7" s="92" t="s">
        <v>36</v>
      </c>
      <c r="D7" s="3"/>
      <c r="E7" s="60">
        <v>2</v>
      </c>
      <c r="F7" s="17">
        <v>17</v>
      </c>
      <c r="G7" s="73">
        <v>46202</v>
      </c>
      <c r="H7" s="18">
        <v>9862</v>
      </c>
      <c r="I7" s="17" t="s">
        <v>37</v>
      </c>
      <c r="J7" s="4" t="s">
        <v>38</v>
      </c>
      <c r="K7" s="4" t="s">
        <v>38</v>
      </c>
      <c r="L7" s="17"/>
      <c r="M7" s="17"/>
      <c r="N7" s="18">
        <v>9862</v>
      </c>
      <c r="O7" s="17" t="s">
        <v>31</v>
      </c>
      <c r="P7" s="19">
        <f t="shared" si="0"/>
        <v>1</v>
      </c>
      <c r="Q7" s="19">
        <v>0.04</v>
      </c>
      <c r="R7" s="4"/>
      <c r="S7" s="17" t="s">
        <v>475</v>
      </c>
      <c r="T7" s="17">
        <v>1</v>
      </c>
      <c r="U7" s="17">
        <v>1</v>
      </c>
      <c r="V7" s="17">
        <v>1</v>
      </c>
      <c r="W7" s="17"/>
      <c r="X7" s="17"/>
      <c r="Y7" s="17"/>
      <c r="Z7" s="17" t="s">
        <v>33</v>
      </c>
      <c r="AA7" s="21" t="s">
        <v>33</v>
      </c>
      <c r="AB7" s="22"/>
      <c r="AC7" s="23"/>
      <c r="AD7" s="4"/>
      <c r="AE7" s="4"/>
      <c r="AF7" s="4"/>
      <c r="AG7" s="4"/>
    </row>
    <row r="8" spans="1:33" ht="19.5" customHeight="1" x14ac:dyDescent="0.2">
      <c r="A8" s="17">
        <v>138</v>
      </c>
      <c r="B8" s="18">
        <v>198000</v>
      </c>
      <c r="C8" s="95">
        <v>0.67</v>
      </c>
      <c r="D8" s="3"/>
      <c r="E8" s="60">
        <v>3</v>
      </c>
      <c r="F8" s="17">
        <v>16</v>
      </c>
      <c r="G8" s="73">
        <v>46201</v>
      </c>
      <c r="H8" s="18">
        <v>7582</v>
      </c>
      <c r="I8" s="17" t="s">
        <v>42</v>
      </c>
      <c r="J8" s="4" t="s">
        <v>150</v>
      </c>
      <c r="K8" s="4" t="s">
        <v>43</v>
      </c>
      <c r="L8" s="17"/>
      <c r="M8" s="17"/>
      <c r="N8" s="18">
        <v>6500</v>
      </c>
      <c r="O8" s="17" t="s">
        <v>31</v>
      </c>
      <c r="P8" s="19">
        <f t="shared" si="0"/>
        <v>0.85729359008177264</v>
      </c>
      <c r="Q8" s="19">
        <v>0.03</v>
      </c>
      <c r="R8" s="4" t="s">
        <v>1302</v>
      </c>
      <c r="S8" s="17" t="s">
        <v>349</v>
      </c>
      <c r="T8" s="17">
        <v>1</v>
      </c>
      <c r="U8" s="17">
        <v>1</v>
      </c>
      <c r="V8" s="17">
        <v>1</v>
      </c>
      <c r="W8" s="17"/>
      <c r="X8" s="17"/>
      <c r="Y8" s="17"/>
      <c r="Z8" s="17" t="s">
        <v>33</v>
      </c>
      <c r="AA8" s="21" t="s">
        <v>33</v>
      </c>
      <c r="AB8" s="22"/>
      <c r="AC8" s="23"/>
      <c r="AD8" s="4"/>
      <c r="AE8" s="4"/>
      <c r="AF8" s="4"/>
      <c r="AG8" s="4"/>
    </row>
    <row r="9" spans="1:33" ht="19.5" customHeight="1" x14ac:dyDescent="0.2">
      <c r="A9" s="94"/>
      <c r="B9" s="17"/>
      <c r="C9" s="92"/>
      <c r="D9" s="3"/>
      <c r="E9" s="60">
        <v>4</v>
      </c>
      <c r="F9" s="17">
        <v>15</v>
      </c>
      <c r="G9" s="73">
        <v>46200</v>
      </c>
      <c r="H9" s="18">
        <v>8111</v>
      </c>
      <c r="I9" s="17" t="s">
        <v>154</v>
      </c>
      <c r="J9" s="4" t="s">
        <v>1303</v>
      </c>
      <c r="K9" s="4" t="s">
        <v>681</v>
      </c>
      <c r="L9" s="17"/>
      <c r="M9" s="17"/>
      <c r="N9" s="18">
        <v>6000</v>
      </c>
      <c r="O9" s="17" t="s">
        <v>31</v>
      </c>
      <c r="P9" s="19">
        <f t="shared" si="0"/>
        <v>0.73973616076932558</v>
      </c>
      <c r="Q9" s="19">
        <v>0.03</v>
      </c>
      <c r="R9" s="4" t="s">
        <v>1304</v>
      </c>
      <c r="S9" s="17" t="s">
        <v>349</v>
      </c>
      <c r="T9" s="17">
        <v>1</v>
      </c>
      <c r="U9" s="17">
        <v>1</v>
      </c>
      <c r="V9" s="17">
        <v>1</v>
      </c>
      <c r="W9" s="17"/>
      <c r="X9" s="17"/>
      <c r="Y9" s="17"/>
      <c r="Z9" s="17" t="s">
        <v>33</v>
      </c>
      <c r="AA9" s="21" t="s">
        <v>33</v>
      </c>
      <c r="AB9" s="22"/>
      <c r="AC9" s="23"/>
      <c r="AD9" s="4"/>
      <c r="AE9" s="4"/>
      <c r="AF9" s="4"/>
      <c r="AG9" s="4"/>
    </row>
    <row r="10" spans="1:33" ht="19.5" customHeight="1" x14ac:dyDescent="0.2">
      <c r="A10" s="94" t="s">
        <v>52</v>
      </c>
      <c r="B10" s="17" t="s">
        <v>53</v>
      </c>
      <c r="C10" s="92"/>
      <c r="D10" s="3"/>
      <c r="E10" s="60">
        <v>5</v>
      </c>
      <c r="F10" s="17">
        <v>14</v>
      </c>
      <c r="G10" s="73">
        <v>46199</v>
      </c>
      <c r="H10" s="18">
        <v>8100</v>
      </c>
      <c r="I10" s="17" t="s">
        <v>212</v>
      </c>
      <c r="J10" s="4" t="s">
        <v>1305</v>
      </c>
      <c r="K10" s="4" t="s">
        <v>1306</v>
      </c>
      <c r="L10" s="17"/>
      <c r="M10" s="17"/>
      <c r="N10" s="18">
        <v>6000</v>
      </c>
      <c r="O10" s="17" t="s">
        <v>31</v>
      </c>
      <c r="P10" s="19">
        <f t="shared" si="0"/>
        <v>0.7407407407407407</v>
      </c>
      <c r="Q10" s="19">
        <v>0.05</v>
      </c>
      <c r="R10" s="4" t="s">
        <v>157</v>
      </c>
      <c r="S10" s="17" t="s">
        <v>51</v>
      </c>
      <c r="T10" s="17"/>
      <c r="U10" s="17">
        <v>1</v>
      </c>
      <c r="V10" s="17">
        <v>1</v>
      </c>
      <c r="W10" s="17"/>
      <c r="X10" s="17"/>
      <c r="Y10" s="17"/>
      <c r="Z10" s="17" t="s">
        <v>33</v>
      </c>
      <c r="AA10" s="21" t="s">
        <v>33</v>
      </c>
      <c r="AB10" s="22"/>
      <c r="AC10" s="23"/>
      <c r="AD10" s="4"/>
      <c r="AE10" s="4"/>
      <c r="AF10" s="4"/>
      <c r="AG10" s="4"/>
    </row>
    <row r="11" spans="1:33" ht="19.5" customHeight="1" x14ac:dyDescent="0.2">
      <c r="A11" s="96">
        <v>1</v>
      </c>
      <c r="B11" s="18">
        <v>134000</v>
      </c>
      <c r="C11" s="92"/>
      <c r="D11" s="3"/>
      <c r="E11" s="60">
        <v>6</v>
      </c>
      <c r="F11" s="17">
        <v>13</v>
      </c>
      <c r="G11" s="73">
        <v>46198</v>
      </c>
      <c r="H11" s="18">
        <v>9116</v>
      </c>
      <c r="I11" s="17" t="s">
        <v>47</v>
      </c>
      <c r="J11" s="4" t="s">
        <v>1307</v>
      </c>
      <c r="K11" s="4" t="s">
        <v>1308</v>
      </c>
      <c r="L11" s="17"/>
      <c r="M11" s="17"/>
      <c r="N11" s="18">
        <v>6000</v>
      </c>
      <c r="O11" s="17" t="s">
        <v>31</v>
      </c>
      <c r="P11" s="19">
        <f t="shared" si="0"/>
        <v>0.65818341377797285</v>
      </c>
      <c r="Q11" s="19">
        <v>0.05</v>
      </c>
      <c r="R11" s="4" t="s">
        <v>45</v>
      </c>
      <c r="S11" s="17" t="s">
        <v>46</v>
      </c>
      <c r="T11" s="17"/>
      <c r="U11" s="17">
        <v>1</v>
      </c>
      <c r="V11" s="17">
        <v>1</v>
      </c>
      <c r="W11" s="17"/>
      <c r="X11" s="17"/>
      <c r="Y11" s="17"/>
      <c r="Z11" s="17" t="s">
        <v>33</v>
      </c>
      <c r="AA11" s="21" t="s">
        <v>33</v>
      </c>
      <c r="AB11" s="22"/>
      <c r="AC11" s="23"/>
      <c r="AD11" s="4"/>
      <c r="AE11" s="4"/>
      <c r="AF11" s="4"/>
      <c r="AG11" s="4"/>
    </row>
    <row r="12" spans="1:33" ht="19.5" customHeight="1" x14ac:dyDescent="0.2">
      <c r="A12" s="96"/>
      <c r="B12" s="18"/>
      <c r="C12" s="92"/>
      <c r="D12" s="3"/>
      <c r="E12" s="60">
        <v>7</v>
      </c>
      <c r="F12" s="17">
        <v>12</v>
      </c>
      <c r="G12" s="73">
        <v>46197</v>
      </c>
      <c r="H12" s="18">
        <v>10035</v>
      </c>
      <c r="I12" s="17" t="s">
        <v>54</v>
      </c>
      <c r="J12" s="4" t="s">
        <v>1309</v>
      </c>
      <c r="K12" s="4" t="s">
        <v>1310</v>
      </c>
      <c r="L12" s="17"/>
      <c r="M12" s="85" t="s">
        <v>57</v>
      </c>
      <c r="N12" s="18">
        <v>5000</v>
      </c>
      <c r="O12" s="17" t="s">
        <v>31</v>
      </c>
      <c r="P12" s="19">
        <f t="shared" si="0"/>
        <v>0.49825610363726958</v>
      </c>
      <c r="Q12" s="19"/>
      <c r="R12" s="4" t="s">
        <v>1311</v>
      </c>
      <c r="S12" s="17" t="s">
        <v>349</v>
      </c>
      <c r="T12" s="17"/>
      <c r="U12" s="17" t="s">
        <v>967</v>
      </c>
      <c r="V12" s="17" t="s">
        <v>967</v>
      </c>
      <c r="W12" s="17"/>
      <c r="X12" s="17"/>
      <c r="Y12" s="17"/>
      <c r="Z12" s="17" t="s">
        <v>33</v>
      </c>
      <c r="AA12" s="21" t="s">
        <v>33</v>
      </c>
      <c r="AB12" s="22"/>
      <c r="AC12" s="23"/>
      <c r="AD12" s="4"/>
      <c r="AE12" s="4"/>
      <c r="AF12" s="4"/>
      <c r="AG12" s="4"/>
    </row>
    <row r="13" spans="1:33" ht="19.5" customHeight="1" x14ac:dyDescent="0.2">
      <c r="A13" s="60"/>
      <c r="B13" s="17" t="s">
        <v>68</v>
      </c>
      <c r="C13" s="97">
        <v>18540000</v>
      </c>
      <c r="D13" s="3"/>
      <c r="E13" s="60">
        <v>8</v>
      </c>
      <c r="F13" s="17">
        <v>11</v>
      </c>
      <c r="G13" s="73">
        <v>46196</v>
      </c>
      <c r="H13" s="18">
        <v>8235</v>
      </c>
      <c r="I13" s="17" t="s">
        <v>59</v>
      </c>
      <c r="J13" s="4" t="s">
        <v>1312</v>
      </c>
      <c r="K13" s="4" t="s">
        <v>1313</v>
      </c>
      <c r="L13" s="17"/>
      <c r="M13" s="85" t="s">
        <v>57</v>
      </c>
      <c r="N13" s="18">
        <v>5000</v>
      </c>
      <c r="O13" s="17" t="s">
        <v>31</v>
      </c>
      <c r="P13" s="19">
        <f t="shared" si="0"/>
        <v>0.60716454159077105</v>
      </c>
      <c r="Q13" s="19">
        <v>0.03</v>
      </c>
      <c r="R13" s="4" t="s">
        <v>1314</v>
      </c>
      <c r="S13" s="17"/>
      <c r="T13" s="17"/>
      <c r="U13" s="17" t="s">
        <v>967</v>
      </c>
      <c r="V13" s="17" t="s">
        <v>967</v>
      </c>
      <c r="W13" s="17"/>
      <c r="X13" s="17" t="s">
        <v>63</v>
      </c>
      <c r="Y13" s="17"/>
      <c r="Z13" s="17" t="s">
        <v>33</v>
      </c>
      <c r="AA13" s="21" t="s">
        <v>33</v>
      </c>
      <c r="AB13" s="22"/>
      <c r="AC13" s="23"/>
      <c r="AD13" s="4"/>
      <c r="AE13" s="4"/>
      <c r="AF13" s="4"/>
      <c r="AG13" s="4"/>
    </row>
    <row r="14" spans="1:33" ht="19.5" customHeight="1" x14ac:dyDescent="0.2">
      <c r="A14" s="60"/>
      <c r="B14" s="17" t="s">
        <v>74</v>
      </c>
      <c r="C14" s="97">
        <v>12963750</v>
      </c>
      <c r="D14" s="3"/>
      <c r="E14" s="60">
        <v>9</v>
      </c>
      <c r="F14" s="17">
        <v>10</v>
      </c>
      <c r="G14" s="73">
        <v>46195</v>
      </c>
      <c r="H14" s="18">
        <v>8171</v>
      </c>
      <c r="I14" s="17" t="s">
        <v>64</v>
      </c>
      <c r="J14" s="4" t="s">
        <v>1315</v>
      </c>
      <c r="K14" s="4" t="s">
        <v>1214</v>
      </c>
      <c r="L14" s="17"/>
      <c r="M14" s="85" t="s">
        <v>57</v>
      </c>
      <c r="N14" s="18">
        <v>5000</v>
      </c>
      <c r="O14" s="17" t="s">
        <v>31</v>
      </c>
      <c r="P14" s="19">
        <f t="shared" si="0"/>
        <v>0.61192020560518912</v>
      </c>
      <c r="Q14" s="19">
        <v>0.02</v>
      </c>
      <c r="R14" s="4" t="s">
        <v>1316</v>
      </c>
      <c r="S14" s="17"/>
      <c r="T14" s="17"/>
      <c r="U14" s="17" t="s">
        <v>967</v>
      </c>
      <c r="V14" s="17" t="s">
        <v>967</v>
      </c>
      <c r="W14" s="17"/>
      <c r="X14" s="17" t="s">
        <v>63</v>
      </c>
      <c r="Y14" s="17"/>
      <c r="Z14" s="17" t="s">
        <v>33</v>
      </c>
      <c r="AA14" s="21" t="s">
        <v>33</v>
      </c>
      <c r="AB14" s="22"/>
      <c r="AC14" s="23"/>
      <c r="AD14" s="4"/>
      <c r="AE14" s="4"/>
      <c r="AF14" s="4"/>
      <c r="AG14" s="4"/>
    </row>
    <row r="15" spans="1:33" ht="19.5" customHeight="1" x14ac:dyDescent="0.2">
      <c r="A15" s="60"/>
      <c r="B15" s="17" t="s">
        <v>75</v>
      </c>
      <c r="C15" s="97"/>
      <c r="D15" s="3"/>
      <c r="E15" s="60">
        <v>10</v>
      </c>
      <c r="F15" s="17">
        <v>9</v>
      </c>
      <c r="G15" s="73">
        <v>46194</v>
      </c>
      <c r="H15" s="18">
        <v>7623</v>
      </c>
      <c r="I15" s="17" t="s">
        <v>69</v>
      </c>
      <c r="J15" s="4"/>
      <c r="K15" s="4"/>
      <c r="L15" s="17"/>
      <c r="M15" s="85" t="s">
        <v>57</v>
      </c>
      <c r="N15" s="18">
        <v>4500</v>
      </c>
      <c r="O15" s="17" t="s">
        <v>31</v>
      </c>
      <c r="P15" s="19">
        <f t="shared" si="0"/>
        <v>0.59031877213695394</v>
      </c>
      <c r="Q15" s="19"/>
      <c r="R15" s="4" t="s">
        <v>1317</v>
      </c>
      <c r="S15" s="17"/>
      <c r="T15" s="17"/>
      <c r="U15" s="17" t="s">
        <v>967</v>
      </c>
      <c r="V15" s="17" t="s">
        <v>967</v>
      </c>
      <c r="W15" s="17"/>
      <c r="X15" s="17"/>
      <c r="Y15" s="17" t="s">
        <v>452</v>
      </c>
      <c r="Z15" s="17" t="s">
        <v>33</v>
      </c>
      <c r="AA15" s="21" t="s">
        <v>33</v>
      </c>
      <c r="AB15" s="22"/>
      <c r="AC15" s="23"/>
      <c r="AD15" s="4"/>
      <c r="AE15" s="4"/>
      <c r="AF15" s="4"/>
      <c r="AG15" s="4"/>
    </row>
    <row r="16" spans="1:33" ht="19.5" customHeight="1" x14ac:dyDescent="0.2">
      <c r="A16" s="98" t="s">
        <v>76</v>
      </c>
      <c r="B16" s="17" t="s">
        <v>77</v>
      </c>
      <c r="C16" s="97">
        <v>5500000</v>
      </c>
      <c r="D16" s="3"/>
      <c r="E16" s="60">
        <v>11</v>
      </c>
      <c r="F16" s="17">
        <v>8</v>
      </c>
      <c r="G16" s="73">
        <v>46193</v>
      </c>
      <c r="H16" s="18">
        <v>7946</v>
      </c>
      <c r="I16" s="17" t="s">
        <v>169</v>
      </c>
      <c r="J16" s="4"/>
      <c r="K16" s="4"/>
      <c r="L16" s="41"/>
      <c r="M16" s="85" t="s">
        <v>170</v>
      </c>
      <c r="N16" s="18">
        <v>4581</v>
      </c>
      <c r="O16" s="17" t="s">
        <v>31</v>
      </c>
      <c r="P16" s="19">
        <f t="shared" si="0"/>
        <v>0.57651648628240626</v>
      </c>
      <c r="Q16" s="19"/>
      <c r="R16" s="4"/>
      <c r="S16" s="42"/>
      <c r="T16" s="42"/>
      <c r="U16" s="42"/>
      <c r="V16" s="42"/>
      <c r="W16" s="42"/>
      <c r="X16" s="17" t="s">
        <v>172</v>
      </c>
      <c r="Y16" s="42"/>
      <c r="Z16" s="17" t="s">
        <v>33</v>
      </c>
      <c r="AA16" s="23"/>
      <c r="AB16" s="23"/>
      <c r="AC16" s="23"/>
      <c r="AD16" s="4"/>
      <c r="AE16" s="4"/>
      <c r="AF16" s="4"/>
      <c r="AG16" s="4"/>
    </row>
    <row r="17" spans="1:33" ht="19.5" customHeight="1" x14ac:dyDescent="0.2">
      <c r="A17" s="121" t="s">
        <v>80</v>
      </c>
      <c r="B17" s="112"/>
      <c r="C17" s="113"/>
      <c r="D17" s="3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4"/>
      <c r="S17" s="84"/>
      <c r="T17" s="84"/>
      <c r="U17" s="84"/>
      <c r="V17" s="84"/>
      <c r="W17" s="84"/>
      <c r="X17" s="84"/>
      <c r="Y17" s="84"/>
      <c r="Z17" s="33"/>
      <c r="AA17" s="33"/>
      <c r="AB17" s="39"/>
      <c r="AC17" s="39"/>
      <c r="AD17" s="4"/>
      <c r="AE17" s="4"/>
      <c r="AF17" s="4"/>
      <c r="AG17" s="4"/>
    </row>
    <row r="18" spans="1:33" ht="19.5" customHeight="1" x14ac:dyDescent="0.2">
      <c r="A18" s="90" t="s">
        <v>3</v>
      </c>
      <c r="B18" s="17"/>
      <c r="C18" s="92"/>
      <c r="D18" s="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"/>
      <c r="AA18" s="4"/>
      <c r="AB18" s="4"/>
      <c r="AC18" s="4"/>
      <c r="AD18" s="4"/>
      <c r="AE18" s="4"/>
      <c r="AF18" s="4"/>
      <c r="AG18" s="4"/>
    </row>
    <row r="19" spans="1:33" ht="19.5" customHeight="1" x14ac:dyDescent="0.2">
      <c r="A19" s="94"/>
      <c r="B19" s="17"/>
      <c r="C19" s="92"/>
      <c r="D19" s="3"/>
      <c r="E19" s="108" t="s">
        <v>79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  <c r="S19" s="42"/>
      <c r="T19" s="42"/>
      <c r="U19" s="42"/>
      <c r="V19" s="3"/>
      <c r="W19" s="5"/>
      <c r="X19" s="5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9.5" customHeight="1" x14ac:dyDescent="0.2">
      <c r="A20" s="94" t="s">
        <v>34</v>
      </c>
      <c r="B20" s="17" t="s">
        <v>35</v>
      </c>
      <c r="C20" s="92" t="s">
        <v>36</v>
      </c>
      <c r="D20" s="14"/>
      <c r="E20" s="43" t="s">
        <v>4</v>
      </c>
      <c r="F20" s="43" t="s">
        <v>20</v>
      </c>
      <c r="G20" s="43" t="s">
        <v>21</v>
      </c>
      <c r="H20" s="43" t="s">
        <v>8</v>
      </c>
      <c r="I20" s="43" t="s">
        <v>81</v>
      </c>
      <c r="J20" s="43" t="s">
        <v>22</v>
      </c>
      <c r="K20" s="43" t="s">
        <v>10</v>
      </c>
      <c r="L20" s="43" t="s">
        <v>82</v>
      </c>
      <c r="M20" s="43" t="s">
        <v>12</v>
      </c>
      <c r="N20" s="43" t="s">
        <v>83</v>
      </c>
      <c r="O20" s="43" t="s">
        <v>84</v>
      </c>
      <c r="P20" s="43" t="s">
        <v>85</v>
      </c>
      <c r="Q20" s="43" t="s">
        <v>86</v>
      </c>
      <c r="R20" s="43" t="s">
        <v>87</v>
      </c>
      <c r="S20" s="42"/>
      <c r="T20" s="42"/>
      <c r="U20" s="42"/>
      <c r="V20" s="3"/>
      <c r="W20" s="5"/>
      <c r="X20" s="5"/>
      <c r="Y20" s="4"/>
      <c r="Z20" s="4"/>
      <c r="AA20" s="4"/>
      <c r="AB20" s="4"/>
      <c r="AD20" s="4"/>
      <c r="AE20" s="4"/>
    </row>
    <row r="21" spans="1:33" ht="19.5" customHeight="1" x14ac:dyDescent="0.2">
      <c r="A21" s="94"/>
      <c r="B21" s="17"/>
      <c r="C21" s="92"/>
      <c r="D21" s="14"/>
      <c r="E21" s="44">
        <v>11</v>
      </c>
      <c r="F21" s="44">
        <v>16</v>
      </c>
      <c r="G21" s="45">
        <v>46202</v>
      </c>
      <c r="H21" s="46">
        <v>5389</v>
      </c>
      <c r="I21" s="46">
        <v>4850</v>
      </c>
      <c r="J21" s="44" t="s">
        <v>169</v>
      </c>
      <c r="K21" s="47">
        <v>0.68</v>
      </c>
      <c r="L21" s="47">
        <v>0.01</v>
      </c>
      <c r="M21" s="49" t="s">
        <v>1318</v>
      </c>
      <c r="N21" s="88" t="s">
        <v>1319</v>
      </c>
      <c r="O21" s="50" t="s">
        <v>1320</v>
      </c>
      <c r="P21" s="44"/>
      <c r="Q21" s="46"/>
      <c r="R21" s="46"/>
      <c r="S21" s="16"/>
      <c r="T21" s="5"/>
      <c r="U21" s="4"/>
      <c r="V21" s="4"/>
      <c r="W21" s="4"/>
      <c r="X21" s="4"/>
      <c r="Y21" s="4"/>
      <c r="Z21" s="4"/>
      <c r="AA21" s="4"/>
      <c r="AB21" s="4"/>
      <c r="AD21" s="4"/>
      <c r="AE21" s="4"/>
    </row>
    <row r="22" spans="1:33" ht="19.5" customHeight="1" x14ac:dyDescent="0.2">
      <c r="A22" s="94"/>
      <c r="B22" s="17"/>
      <c r="C22" s="92"/>
      <c r="D22" s="14"/>
      <c r="E22" s="44">
        <v>12</v>
      </c>
      <c r="F22" s="44">
        <v>15</v>
      </c>
      <c r="G22" s="45">
        <v>46202</v>
      </c>
      <c r="H22" s="46">
        <v>3170</v>
      </c>
      <c r="I22" s="46">
        <v>2853</v>
      </c>
      <c r="J22" s="44" t="s">
        <v>226</v>
      </c>
      <c r="K22" s="47">
        <v>0.43</v>
      </c>
      <c r="L22" s="47">
        <v>0.02</v>
      </c>
      <c r="M22" s="49" t="s">
        <v>1321</v>
      </c>
      <c r="N22" s="88" t="s">
        <v>314</v>
      </c>
      <c r="O22" s="50" t="s">
        <v>1322</v>
      </c>
      <c r="P22" s="44"/>
      <c r="Q22" s="46"/>
      <c r="R22" s="46"/>
      <c r="S22" s="16"/>
      <c r="T22" s="5"/>
      <c r="U22" s="4"/>
      <c r="V22" s="4"/>
      <c r="W22" s="4"/>
      <c r="X22" s="4"/>
      <c r="Y22" s="4"/>
      <c r="Z22" s="4"/>
      <c r="AA22" s="4"/>
      <c r="AB22" s="4"/>
      <c r="AD22" s="4"/>
      <c r="AE22" s="4"/>
    </row>
    <row r="23" spans="1:33" ht="19.5" customHeight="1" x14ac:dyDescent="0.2">
      <c r="A23" s="94" t="s">
        <v>52</v>
      </c>
      <c r="B23" s="17" t="s">
        <v>53</v>
      </c>
      <c r="C23" s="92"/>
      <c r="D23" s="14"/>
      <c r="E23" s="44">
        <v>14</v>
      </c>
      <c r="F23" s="44">
        <v>14</v>
      </c>
      <c r="G23" s="45">
        <v>46200</v>
      </c>
      <c r="H23" s="46">
        <v>6105</v>
      </c>
      <c r="I23" s="46">
        <v>5495</v>
      </c>
      <c r="J23" s="44" t="s">
        <v>92</v>
      </c>
      <c r="K23" s="47">
        <v>0.63</v>
      </c>
      <c r="L23" s="47"/>
      <c r="M23" s="49" t="s">
        <v>1323</v>
      </c>
      <c r="N23" s="88" t="s">
        <v>90</v>
      </c>
      <c r="O23" s="50" t="s">
        <v>1324</v>
      </c>
      <c r="P23" s="44"/>
      <c r="Q23" s="46"/>
      <c r="R23" s="46"/>
      <c r="S23" s="16" t="s">
        <v>101</v>
      </c>
      <c r="T23" s="5"/>
      <c r="U23" s="4"/>
      <c r="V23" s="4"/>
      <c r="W23" s="4"/>
      <c r="X23" s="4"/>
      <c r="Y23" s="4"/>
      <c r="Z23" s="4"/>
      <c r="AA23" s="4"/>
      <c r="AB23" s="4"/>
      <c r="AD23" s="4"/>
      <c r="AE23" s="4"/>
    </row>
    <row r="24" spans="1:33" ht="19.5" customHeight="1" x14ac:dyDescent="0.2">
      <c r="A24" s="94"/>
      <c r="B24" s="18"/>
      <c r="C24" s="92"/>
      <c r="D24" s="14"/>
      <c r="E24" s="44">
        <v>15</v>
      </c>
      <c r="F24" s="44">
        <v>12</v>
      </c>
      <c r="G24" s="45">
        <v>46199</v>
      </c>
      <c r="H24" s="46">
        <v>6175</v>
      </c>
      <c r="I24" s="46">
        <v>5558</v>
      </c>
      <c r="J24" s="44" t="s">
        <v>96</v>
      </c>
      <c r="K24" s="47">
        <v>0.71</v>
      </c>
      <c r="L24" s="47"/>
      <c r="M24" s="49" t="s">
        <v>1325</v>
      </c>
      <c r="N24" s="88" t="s">
        <v>376</v>
      </c>
      <c r="O24" s="50" t="s">
        <v>1297</v>
      </c>
      <c r="P24" s="44"/>
      <c r="Q24" s="46"/>
      <c r="R24" s="46"/>
      <c r="S24" s="3"/>
      <c r="T24" s="5"/>
      <c r="U24" s="4"/>
      <c r="V24" s="4"/>
      <c r="W24" s="4"/>
      <c r="X24" s="4"/>
      <c r="Y24" s="4"/>
      <c r="Z24" s="4"/>
      <c r="AA24" s="4"/>
      <c r="AB24" s="4"/>
      <c r="AD24" s="4"/>
      <c r="AE24" s="4"/>
    </row>
    <row r="25" spans="1:33" ht="19.5" customHeight="1" x14ac:dyDescent="0.2">
      <c r="A25" s="17"/>
      <c r="B25" s="17"/>
      <c r="C25" s="92"/>
      <c r="D25" s="14"/>
      <c r="E25" s="44">
        <v>16</v>
      </c>
      <c r="F25" s="44">
        <v>11</v>
      </c>
      <c r="G25" s="45">
        <v>46198</v>
      </c>
      <c r="H25" s="46">
        <v>2668</v>
      </c>
      <c r="I25" s="46">
        <v>2401</v>
      </c>
      <c r="J25" s="44" t="s">
        <v>102</v>
      </c>
      <c r="K25" s="47">
        <v>0.42</v>
      </c>
      <c r="L25" s="47"/>
      <c r="M25" s="49" t="s">
        <v>1326</v>
      </c>
      <c r="N25" s="88" t="s">
        <v>534</v>
      </c>
      <c r="O25" s="50" t="s">
        <v>1327</v>
      </c>
      <c r="P25" s="44"/>
      <c r="Q25" s="46"/>
      <c r="R25" s="46"/>
      <c r="S25" s="3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3" ht="19.5" customHeight="1" x14ac:dyDescent="0.2">
      <c r="A26" s="17" t="s">
        <v>101</v>
      </c>
      <c r="B26" s="17" t="s">
        <v>68</v>
      </c>
      <c r="C26" s="92"/>
      <c r="D26" s="14"/>
      <c r="E26" s="44">
        <v>17</v>
      </c>
      <c r="F26" s="44">
        <v>10</v>
      </c>
      <c r="G26" s="45">
        <v>46197</v>
      </c>
      <c r="H26" s="46">
        <v>5047</v>
      </c>
      <c r="I26" s="46">
        <v>4542</v>
      </c>
      <c r="J26" s="44" t="s">
        <v>107</v>
      </c>
      <c r="K26" s="47">
        <v>0.84</v>
      </c>
      <c r="L26" s="47"/>
      <c r="M26" s="49" t="s">
        <v>1328</v>
      </c>
      <c r="N26" s="88" t="s">
        <v>182</v>
      </c>
      <c r="O26" s="50" t="s">
        <v>1329</v>
      </c>
      <c r="P26" s="44"/>
      <c r="Q26" s="46"/>
      <c r="R26" s="46"/>
      <c r="S26" s="3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3" ht="19.5" customHeight="1" x14ac:dyDescent="0.2">
      <c r="A27" s="60"/>
      <c r="B27" s="17" t="s">
        <v>74</v>
      </c>
      <c r="C27" s="92"/>
      <c r="D27" s="14"/>
      <c r="E27" s="44">
        <v>18</v>
      </c>
      <c r="F27" s="44">
        <v>9</v>
      </c>
      <c r="G27" s="45">
        <v>46196</v>
      </c>
      <c r="H27" s="46">
        <v>4209</v>
      </c>
      <c r="I27" s="46">
        <v>3788</v>
      </c>
      <c r="J27" s="44" t="s">
        <v>282</v>
      </c>
      <c r="K27" s="47">
        <v>0.91</v>
      </c>
      <c r="L27" s="47"/>
      <c r="M27" s="49" t="s">
        <v>1330</v>
      </c>
      <c r="N27" s="88" t="s">
        <v>601</v>
      </c>
      <c r="O27" s="50" t="s">
        <v>1331</v>
      </c>
      <c r="P27" s="44">
        <v>1585</v>
      </c>
      <c r="Q27" s="52">
        <f>P27/H27</f>
        <v>0.37657400807792824</v>
      </c>
      <c r="R27" s="46" t="s">
        <v>106</v>
      </c>
      <c r="S27" s="16"/>
      <c r="T27" s="53"/>
      <c r="U27" s="54"/>
      <c r="V27" s="4"/>
      <c r="W27" s="4"/>
      <c r="X27" s="4"/>
      <c r="Y27" s="4"/>
      <c r="Z27" s="4"/>
      <c r="AA27" s="4"/>
      <c r="AB27" s="4"/>
      <c r="AE27" s="4"/>
      <c r="AF27" s="4"/>
    </row>
    <row r="28" spans="1:33" ht="19.5" customHeight="1" x14ac:dyDescent="0.2">
      <c r="A28" s="98"/>
      <c r="B28" s="17" t="s">
        <v>75</v>
      </c>
      <c r="C28" s="97"/>
      <c r="D28" s="14"/>
      <c r="E28" s="44">
        <v>19</v>
      </c>
      <c r="F28" s="44">
        <v>7</v>
      </c>
      <c r="G28" s="45">
        <v>46195</v>
      </c>
      <c r="H28" s="46">
        <v>3208</v>
      </c>
      <c r="I28" s="46">
        <v>2887</v>
      </c>
      <c r="J28" s="44" t="s">
        <v>331</v>
      </c>
      <c r="K28" s="47">
        <v>0.35</v>
      </c>
      <c r="L28" s="47"/>
      <c r="M28" s="49" t="s">
        <v>1332</v>
      </c>
      <c r="N28" s="88" t="s">
        <v>1333</v>
      </c>
      <c r="O28" s="50" t="s">
        <v>1334</v>
      </c>
      <c r="P28" s="44"/>
      <c r="Q28" s="46"/>
      <c r="R28" s="46"/>
      <c r="S28" s="16"/>
      <c r="T28" s="54"/>
      <c r="U28" s="57"/>
      <c r="V28" s="4"/>
      <c r="W28" s="4"/>
      <c r="X28" s="4"/>
      <c r="Y28" s="4"/>
      <c r="Z28" s="4"/>
      <c r="AA28" s="4"/>
      <c r="AB28" s="4"/>
      <c r="AE28" s="4"/>
      <c r="AF28" s="4"/>
    </row>
    <row r="29" spans="1:33" ht="19.5" customHeight="1" x14ac:dyDescent="0.2">
      <c r="A29" s="60"/>
      <c r="B29" s="17" t="s">
        <v>77</v>
      </c>
      <c r="C29" s="97"/>
      <c r="D29" s="14"/>
      <c r="E29" s="44">
        <v>20</v>
      </c>
      <c r="F29" s="44">
        <v>6</v>
      </c>
      <c r="G29" s="45">
        <v>46194</v>
      </c>
      <c r="H29" s="46">
        <v>6528</v>
      </c>
      <c r="I29" s="46">
        <v>5875</v>
      </c>
      <c r="J29" s="44" t="s">
        <v>385</v>
      </c>
      <c r="K29" s="47">
        <v>0.68</v>
      </c>
      <c r="L29" s="47"/>
      <c r="M29" s="49"/>
      <c r="N29" s="88" t="s">
        <v>381</v>
      </c>
      <c r="O29" s="50" t="s">
        <v>381</v>
      </c>
      <c r="P29" s="46">
        <v>4494</v>
      </c>
      <c r="Q29" s="52">
        <f>P29/H29</f>
        <v>0.68841911764705888</v>
      </c>
      <c r="R29" s="46" t="s">
        <v>106</v>
      </c>
      <c r="S29" s="16"/>
      <c r="T29" s="54"/>
      <c r="U29" s="57"/>
      <c r="V29" s="4"/>
      <c r="W29" s="4"/>
      <c r="X29" s="4"/>
      <c r="Y29" s="4"/>
      <c r="Z29" s="4"/>
      <c r="AA29" s="4"/>
      <c r="AB29" s="4"/>
      <c r="AD29" s="4"/>
      <c r="AE29" s="4"/>
    </row>
    <row r="30" spans="1:33" ht="19.5" customHeight="1" x14ac:dyDescent="0.2">
      <c r="A30" s="121" t="s">
        <v>121</v>
      </c>
      <c r="B30" s="112"/>
      <c r="C30" s="113"/>
      <c r="D30" s="14"/>
      <c r="M30" s="4"/>
      <c r="N30" s="4"/>
      <c r="O30" s="4"/>
      <c r="P30" s="4"/>
      <c r="Q30" s="4"/>
      <c r="R30" s="4"/>
      <c r="S30" s="16"/>
      <c r="T30" s="54"/>
      <c r="U30" s="57"/>
      <c r="V30" s="4"/>
      <c r="W30" s="4"/>
      <c r="X30" s="4"/>
      <c r="Y30" s="4"/>
      <c r="Z30" s="4"/>
      <c r="AA30" s="4"/>
      <c r="AB30" s="4"/>
      <c r="AD30" s="4"/>
      <c r="AE30" s="4"/>
    </row>
    <row r="31" spans="1:33" ht="19.5" customHeight="1" x14ac:dyDescent="0.2">
      <c r="A31" s="90" t="s">
        <v>3</v>
      </c>
      <c r="B31" s="17"/>
      <c r="C31" s="92"/>
      <c r="D31" s="14"/>
      <c r="M31" s="4"/>
      <c r="N31" s="4"/>
      <c r="O31" s="4"/>
      <c r="P31" s="4"/>
      <c r="Q31" s="4"/>
      <c r="R31" s="4"/>
    </row>
    <row r="32" spans="1:33" ht="19.5" customHeight="1" x14ac:dyDescent="0.2">
      <c r="A32" s="94"/>
      <c r="B32" s="17"/>
      <c r="C32" s="92"/>
      <c r="D32" s="14"/>
      <c r="M32" s="4"/>
      <c r="N32" s="4"/>
      <c r="O32" s="4"/>
      <c r="P32" s="4"/>
      <c r="Q32" s="4"/>
      <c r="R32" s="4"/>
      <c r="S32" s="3"/>
      <c r="T32" s="5"/>
      <c r="U32" s="4"/>
      <c r="V32" s="4"/>
      <c r="W32" s="4"/>
      <c r="X32" s="4"/>
      <c r="Y32" s="4"/>
      <c r="Z32" s="4"/>
      <c r="AA32" s="4"/>
      <c r="AB32" s="4"/>
      <c r="AD32" s="4"/>
      <c r="AE32" s="4"/>
    </row>
    <row r="33" spans="1:31" ht="19.5" customHeight="1" x14ac:dyDescent="0.2">
      <c r="A33" s="94" t="s">
        <v>34</v>
      </c>
      <c r="B33" s="17" t="s">
        <v>35</v>
      </c>
      <c r="C33" s="92" t="s">
        <v>36</v>
      </c>
      <c r="D33" s="14"/>
      <c r="E33" s="55" t="s">
        <v>110</v>
      </c>
      <c r="I33" s="56" t="s">
        <v>76</v>
      </c>
      <c r="J33" s="105" t="s">
        <v>111</v>
      </c>
      <c r="K33" s="106"/>
      <c r="L33" s="107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</row>
    <row r="34" spans="1:31" ht="19.5" customHeight="1" x14ac:dyDescent="0.2">
      <c r="A34" s="17"/>
      <c r="B34" s="18"/>
      <c r="C34" s="92"/>
      <c r="D34" s="14"/>
      <c r="E34" s="58" t="s">
        <v>112</v>
      </c>
      <c r="F34" s="89"/>
      <c r="G34" s="17" t="s">
        <v>151</v>
      </c>
      <c r="H34" s="4"/>
      <c r="I34" s="3"/>
      <c r="J34" s="59" t="s">
        <v>114</v>
      </c>
      <c r="K34" s="59" t="s">
        <v>115</v>
      </c>
      <c r="L34" s="59" t="s">
        <v>116</v>
      </c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</row>
    <row r="35" spans="1:31" ht="19.5" customHeight="1" x14ac:dyDescent="0.2">
      <c r="A35" s="17"/>
      <c r="B35" s="18"/>
      <c r="C35" s="92"/>
      <c r="D35" s="14"/>
      <c r="E35" s="3"/>
      <c r="F35" s="42"/>
      <c r="G35" s="17"/>
      <c r="H35" s="3"/>
      <c r="I35" s="3"/>
      <c r="J35" s="3" t="s">
        <v>117</v>
      </c>
      <c r="K35" s="53"/>
      <c r="L35" s="53">
        <v>0.03</v>
      </c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</row>
    <row r="36" spans="1:31" ht="19.5" customHeight="1" x14ac:dyDescent="0.2">
      <c r="A36" s="17" t="s">
        <v>52</v>
      </c>
      <c r="B36" s="17" t="s">
        <v>53</v>
      </c>
      <c r="C36" s="92"/>
      <c r="D36" s="14"/>
      <c r="E36" s="3" t="s">
        <v>118</v>
      </c>
      <c r="F36" s="17"/>
      <c r="G36" s="89"/>
      <c r="H36" s="3"/>
      <c r="I36" s="3"/>
      <c r="J36" s="3"/>
      <c r="K36" s="4"/>
      <c r="L36" s="53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</row>
    <row r="37" spans="1:31" ht="19.5" customHeight="1" x14ac:dyDescent="0.2">
      <c r="A37" s="19"/>
      <c r="B37" s="18"/>
      <c r="C37" s="92"/>
      <c r="D37" s="14"/>
      <c r="E37" s="17" t="s">
        <v>119</v>
      </c>
      <c r="F37" s="17">
        <v>0</v>
      </c>
      <c r="G37" s="17"/>
      <c r="H37" s="3"/>
      <c r="I37" s="3"/>
      <c r="J37" s="3" t="s">
        <v>120</v>
      </c>
      <c r="K37" s="53"/>
      <c r="L37" s="53">
        <v>0.03</v>
      </c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</row>
    <row r="38" spans="1:31" ht="19.5" customHeight="1" x14ac:dyDescent="0.2">
      <c r="A38" s="94"/>
      <c r="B38" s="18"/>
      <c r="C38" s="92"/>
      <c r="D38" s="14"/>
      <c r="E38" s="17" t="s">
        <v>122</v>
      </c>
      <c r="F38" s="17">
        <v>0</v>
      </c>
      <c r="G38" s="17"/>
      <c r="H38" s="53"/>
      <c r="I38" s="3"/>
      <c r="J38" s="3"/>
      <c r="K38" s="3"/>
      <c r="L38" s="53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</row>
    <row r="39" spans="1:31" ht="19.5" customHeight="1" x14ac:dyDescent="0.2">
      <c r="A39" s="17"/>
      <c r="B39" s="17" t="s">
        <v>68</v>
      </c>
      <c r="C39" s="92"/>
      <c r="D39" s="14"/>
      <c r="E39" s="5"/>
      <c r="F39" s="17"/>
      <c r="G39" s="17"/>
      <c r="H39" s="53"/>
      <c r="I39" s="3"/>
      <c r="J39" s="3"/>
      <c r="K39" s="3"/>
      <c r="L39" s="53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</row>
    <row r="40" spans="1:31" ht="19.5" customHeight="1" x14ac:dyDescent="0.2">
      <c r="A40" s="60"/>
      <c r="B40" s="17" t="s">
        <v>74</v>
      </c>
      <c r="C40" s="92"/>
      <c r="D40" s="14"/>
      <c r="E40" s="55" t="s">
        <v>123</v>
      </c>
      <c r="F40" s="17"/>
      <c r="G40" s="17"/>
      <c r="H40" s="53"/>
      <c r="I40" s="3"/>
      <c r="J40" s="3"/>
      <c r="K40" s="17"/>
      <c r="L40" s="53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</row>
    <row r="41" spans="1:31" ht="19.5" customHeight="1" x14ac:dyDescent="0.2">
      <c r="A41" s="98"/>
      <c r="B41" s="17" t="s">
        <v>75</v>
      </c>
      <c r="C41" s="97"/>
      <c r="D41" s="14"/>
      <c r="E41" s="61" t="s">
        <v>124</v>
      </c>
      <c r="F41" s="17">
        <v>0</v>
      </c>
      <c r="G41" s="17"/>
      <c r="H41" s="3"/>
      <c r="I41" s="3"/>
      <c r="J41" s="62"/>
      <c r="K41" s="17"/>
      <c r="L41" s="53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</row>
    <row r="42" spans="1:31" ht="19.5" customHeight="1" x14ac:dyDescent="0.2">
      <c r="A42" s="60"/>
      <c r="B42" s="17" t="s">
        <v>77</v>
      </c>
      <c r="C42" s="97"/>
      <c r="D42" s="14"/>
      <c r="E42" s="61" t="s">
        <v>125</v>
      </c>
      <c r="F42" s="17">
        <v>0</v>
      </c>
      <c r="G42" s="17"/>
      <c r="H42" s="3"/>
      <c r="I42" s="3"/>
      <c r="J42" s="63"/>
      <c r="K42" s="17"/>
      <c r="L42" s="5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9.5" customHeight="1" x14ac:dyDescent="0.2">
      <c r="A43" s="121" t="s">
        <v>138</v>
      </c>
      <c r="B43" s="112"/>
      <c r="C43" s="113"/>
      <c r="D43" s="14"/>
      <c r="E43" s="3"/>
      <c r="F43" s="3"/>
      <c r="G43" s="3"/>
      <c r="H43" s="3"/>
      <c r="I43" s="3"/>
      <c r="J43" s="64"/>
      <c r="K43" s="17"/>
      <c r="L43" s="53"/>
      <c r="M43" s="4"/>
      <c r="N43" s="4"/>
      <c r="O43" s="4"/>
      <c r="P43" s="4"/>
      <c r="Q43" s="4"/>
      <c r="R43" s="4"/>
      <c r="S43" s="4"/>
      <c r="T43" s="3"/>
      <c r="U43" s="3"/>
      <c r="V43" s="3"/>
      <c r="W43" s="5"/>
      <c r="X43" s="4"/>
      <c r="Y43" s="4"/>
      <c r="Z43" s="4"/>
      <c r="AA43" s="4"/>
      <c r="AB43" s="4"/>
      <c r="AC43" s="4"/>
      <c r="AD43" s="4"/>
      <c r="AE43" s="4"/>
    </row>
    <row r="44" spans="1:31" ht="19.5" customHeight="1" x14ac:dyDescent="0.2">
      <c r="A44" s="90" t="s">
        <v>3</v>
      </c>
      <c r="B44" s="91"/>
      <c r="C44" s="92"/>
      <c r="D44" s="3"/>
      <c r="E44" s="55" t="s">
        <v>126</v>
      </c>
      <c r="F44" s="55"/>
      <c r="G44" s="3"/>
      <c r="H44" s="3"/>
      <c r="J44" s="4"/>
      <c r="K44" s="17"/>
      <c r="L44" s="53"/>
      <c r="M44" s="4"/>
      <c r="N44" s="4"/>
      <c r="O44" s="4"/>
      <c r="P44" s="4"/>
      <c r="Q44" s="4"/>
      <c r="R44" s="4"/>
      <c r="S44" s="4"/>
      <c r="T44" s="3"/>
      <c r="U44" s="3"/>
      <c r="V44" s="3"/>
      <c r="W44" s="5"/>
      <c r="X44" s="4"/>
      <c r="Y44" s="4"/>
      <c r="Z44" s="4"/>
      <c r="AA44" s="4"/>
      <c r="AB44" s="4"/>
      <c r="AC44" s="4"/>
      <c r="AD44" s="4"/>
      <c r="AE44" s="4"/>
    </row>
    <row r="45" spans="1:31" ht="19.5" customHeight="1" x14ac:dyDescent="0.2">
      <c r="A45" s="94"/>
      <c r="B45" s="17"/>
      <c r="C45" s="92"/>
      <c r="D45" s="14"/>
      <c r="E45" s="65" t="s">
        <v>20</v>
      </c>
      <c r="F45" s="65" t="s">
        <v>127</v>
      </c>
      <c r="G45" s="65" t="s">
        <v>128</v>
      </c>
      <c r="H45" s="65" t="s">
        <v>129</v>
      </c>
      <c r="I45" s="65" t="s">
        <v>87</v>
      </c>
      <c r="J45" s="4"/>
      <c r="K45" s="4"/>
      <c r="L45" s="53"/>
      <c r="M45" s="4"/>
      <c r="N45" s="4"/>
      <c r="O45" s="4"/>
      <c r="P45" s="4"/>
      <c r="Q45" s="4"/>
      <c r="R45" s="4"/>
      <c r="S45" s="4"/>
      <c r="T45" s="3"/>
      <c r="U45" s="3"/>
      <c r="V45" s="3"/>
      <c r="W45" s="5"/>
      <c r="X45" s="4"/>
      <c r="Y45" s="4"/>
      <c r="Z45" s="4"/>
      <c r="AA45" s="4"/>
      <c r="AB45" s="4"/>
      <c r="AC45" s="4"/>
      <c r="AD45" s="4"/>
      <c r="AE45" s="4"/>
    </row>
    <row r="46" spans="1:31" ht="19.5" customHeight="1" x14ac:dyDescent="0.2">
      <c r="A46" s="94" t="s">
        <v>34</v>
      </c>
      <c r="B46" s="17" t="s">
        <v>35</v>
      </c>
      <c r="C46" s="92" t="s">
        <v>36</v>
      </c>
      <c r="D46" s="14"/>
      <c r="E46" s="66" t="s">
        <v>130</v>
      </c>
      <c r="F46" s="67">
        <v>1280</v>
      </c>
      <c r="G46" s="68">
        <v>0</v>
      </c>
      <c r="H46" s="69" t="s">
        <v>131</v>
      </c>
      <c r="I46" s="68" t="s">
        <v>40</v>
      </c>
      <c r="J46" s="4"/>
      <c r="K46" s="4"/>
      <c r="L46" s="53"/>
      <c r="M46" s="4"/>
      <c r="N46" s="4"/>
      <c r="O46" s="4"/>
      <c r="P46" s="4"/>
      <c r="Q46" s="4"/>
      <c r="R46" s="4"/>
      <c r="S46" s="4"/>
      <c r="T46" s="4"/>
      <c r="U46" s="3"/>
      <c r="V46" s="3"/>
      <c r="W46" s="5"/>
      <c r="X46" s="4"/>
      <c r="Y46" s="4"/>
      <c r="Z46" s="4"/>
      <c r="AA46" s="4"/>
      <c r="AB46" s="4"/>
      <c r="AC46" s="4"/>
      <c r="AD46" s="4"/>
      <c r="AE46" s="4"/>
    </row>
    <row r="47" spans="1:31" ht="18.75" customHeight="1" x14ac:dyDescent="0.2">
      <c r="A47" s="17"/>
      <c r="B47" s="18"/>
      <c r="C47" s="92"/>
      <c r="D47" s="14"/>
      <c r="E47" s="70" t="s">
        <v>132</v>
      </c>
      <c r="F47" s="67">
        <v>218</v>
      </c>
      <c r="G47" s="68">
        <v>0</v>
      </c>
      <c r="H47" s="69" t="s">
        <v>131</v>
      </c>
      <c r="I47" s="68" t="s">
        <v>1335</v>
      </c>
      <c r="J47" s="4"/>
      <c r="K47" s="4"/>
      <c r="L47" s="53"/>
      <c r="M47" s="73"/>
      <c r="N47" s="18"/>
      <c r="O47" s="18"/>
      <c r="P47" s="17"/>
      <c r="Q47" s="74"/>
      <c r="R47" s="53"/>
      <c r="S47" s="4"/>
      <c r="T47" s="4"/>
      <c r="U47" s="3"/>
      <c r="V47" s="3"/>
      <c r="W47" s="3"/>
      <c r="X47" s="5"/>
      <c r="Y47" s="5"/>
      <c r="Z47" s="5"/>
      <c r="AA47" s="4"/>
      <c r="AB47" s="4"/>
      <c r="AC47" s="4"/>
      <c r="AD47" s="4"/>
      <c r="AE47" s="4"/>
    </row>
    <row r="48" spans="1:31" ht="18.75" customHeight="1" x14ac:dyDescent="0.2">
      <c r="A48" s="17"/>
      <c r="B48" s="18"/>
      <c r="C48" s="92"/>
      <c r="D48" s="14"/>
      <c r="E48" s="70" t="s">
        <v>426</v>
      </c>
      <c r="F48" s="67">
        <v>240</v>
      </c>
      <c r="G48" s="68">
        <v>0</v>
      </c>
      <c r="H48" s="69" t="s">
        <v>131</v>
      </c>
      <c r="I48" s="68" t="s">
        <v>339</v>
      </c>
      <c r="J48" s="4"/>
      <c r="K48" s="4"/>
      <c r="L48" s="53"/>
      <c r="M48" s="4"/>
      <c r="N48" s="4"/>
      <c r="O48" s="4"/>
      <c r="P48" s="4"/>
      <c r="Q48" s="4"/>
      <c r="R48" s="4"/>
      <c r="S48" s="5"/>
      <c r="T48" s="4"/>
      <c r="U48" s="3"/>
      <c r="V48" s="3"/>
      <c r="W48" s="3"/>
      <c r="X48" s="3"/>
      <c r="Y48" s="5"/>
      <c r="Z48" s="5"/>
      <c r="AA48" s="4"/>
      <c r="AB48" s="4"/>
      <c r="AC48" s="4"/>
      <c r="AD48" s="4"/>
      <c r="AE48" s="4"/>
    </row>
    <row r="49" spans="1:33" ht="18.75" customHeight="1" x14ac:dyDescent="0.2">
      <c r="A49" s="17" t="s">
        <v>52</v>
      </c>
      <c r="B49" s="17" t="s">
        <v>53</v>
      </c>
      <c r="C49" s="92"/>
      <c r="D49" s="14"/>
      <c r="E49" s="66" t="s">
        <v>136</v>
      </c>
      <c r="F49" s="71">
        <v>320</v>
      </c>
      <c r="G49" s="72"/>
      <c r="H49" s="69" t="s">
        <v>131</v>
      </c>
      <c r="I49" s="68"/>
      <c r="J49" s="4"/>
      <c r="K49" s="4"/>
      <c r="L49" s="53"/>
      <c r="M49" s="4"/>
      <c r="N49" s="4"/>
      <c r="O49" s="4"/>
      <c r="P49" s="4"/>
      <c r="Q49" s="4"/>
      <c r="R49" s="4"/>
      <c r="S49" s="5"/>
      <c r="T49" s="4"/>
      <c r="U49" s="3"/>
      <c r="V49" s="3"/>
      <c r="W49" s="3"/>
      <c r="X49" s="3"/>
      <c r="Y49" s="5"/>
      <c r="Z49" s="5"/>
      <c r="AA49" s="4"/>
      <c r="AB49" s="4"/>
      <c r="AC49" s="4"/>
      <c r="AD49" s="4"/>
      <c r="AE49" s="4"/>
    </row>
    <row r="50" spans="1:33" ht="19.5" customHeight="1" x14ac:dyDescent="0.2">
      <c r="A50" s="17"/>
      <c r="B50" s="18"/>
      <c r="C50" s="92"/>
      <c r="D50" s="14"/>
      <c r="E50" s="70" t="s">
        <v>877</v>
      </c>
      <c r="F50" s="71">
        <v>112</v>
      </c>
      <c r="G50" s="72"/>
      <c r="H50" s="69" t="s">
        <v>131</v>
      </c>
      <c r="I50" s="68" t="s">
        <v>964</v>
      </c>
      <c r="J50" s="4"/>
      <c r="K50" s="4"/>
      <c r="L50" s="53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5"/>
      <c r="Z50" s="5"/>
      <c r="AA50" s="4"/>
      <c r="AB50" s="4"/>
      <c r="AC50" s="4"/>
      <c r="AE50" s="4"/>
    </row>
    <row r="51" spans="1:33" ht="19.5" customHeight="1" x14ac:dyDescent="0.2">
      <c r="A51" s="17"/>
      <c r="B51" s="17"/>
      <c r="C51" s="92"/>
      <c r="D51" s="14"/>
      <c r="E51" s="70" t="s">
        <v>428</v>
      </c>
      <c r="F51" s="71">
        <v>206</v>
      </c>
      <c r="G51" s="72"/>
      <c r="H51" s="69" t="s">
        <v>131</v>
      </c>
      <c r="I51" s="68" t="s">
        <v>339</v>
      </c>
      <c r="J51" s="4"/>
      <c r="K51" s="4"/>
      <c r="L51" s="53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5"/>
      <c r="Z51" s="5"/>
      <c r="AA51" s="4"/>
      <c r="AB51" s="4"/>
      <c r="AC51" s="4"/>
      <c r="AE51" s="4"/>
    </row>
    <row r="52" spans="1:33" ht="19.5" customHeight="1" x14ac:dyDescent="0.2">
      <c r="A52" s="17"/>
      <c r="B52" s="17" t="s">
        <v>68</v>
      </c>
      <c r="C52" s="92"/>
      <c r="D52" s="14"/>
      <c r="E52" s="4"/>
      <c r="G52" s="4"/>
      <c r="H52" s="4"/>
      <c r="I52" s="4"/>
      <c r="J52" s="4"/>
      <c r="K52" s="4"/>
      <c r="L52" s="53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5"/>
      <c r="Z52" s="5"/>
      <c r="AA52" s="4"/>
      <c r="AB52" s="4"/>
      <c r="AC52" s="4"/>
      <c r="AD52" s="4"/>
    </row>
    <row r="53" spans="1:33" ht="19.5" customHeight="1" x14ac:dyDescent="0.2">
      <c r="A53" s="60"/>
      <c r="B53" s="17" t="s">
        <v>74</v>
      </c>
      <c r="C53" s="92"/>
      <c r="D53" s="14"/>
      <c r="E53" s="66"/>
      <c r="F53" s="4" t="s">
        <v>140</v>
      </c>
      <c r="G53" s="4"/>
      <c r="H53" s="4"/>
      <c r="I53" s="4"/>
      <c r="J53" s="4"/>
      <c r="K53" s="4"/>
      <c r="L53" s="53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5"/>
      <c r="Z53" s="5"/>
      <c r="AA53" s="4"/>
      <c r="AB53" s="4"/>
      <c r="AC53" s="4"/>
      <c r="AD53" s="4"/>
      <c r="AE53" s="4"/>
    </row>
    <row r="54" spans="1:33" ht="19.5" customHeight="1" x14ac:dyDescent="0.2">
      <c r="A54" s="98"/>
      <c r="B54" s="17" t="s">
        <v>75</v>
      </c>
      <c r="C54" s="97"/>
      <c r="D54" s="3"/>
      <c r="E54" s="70"/>
      <c r="F54" s="4" t="s">
        <v>141</v>
      </c>
      <c r="G54" s="4"/>
      <c r="H54" s="4"/>
      <c r="I54" s="4"/>
      <c r="J54" s="4"/>
      <c r="K54" s="4"/>
      <c r="L54" s="53"/>
      <c r="M54" s="4"/>
      <c r="N54" s="4"/>
      <c r="O54" s="4"/>
      <c r="P54" s="4"/>
      <c r="Q54" s="4"/>
      <c r="R54" s="4"/>
      <c r="S54" s="4"/>
      <c r="T54" s="5"/>
      <c r="U54" s="3"/>
      <c r="V54" s="3"/>
      <c r="W54" s="3"/>
      <c r="X54" s="3"/>
      <c r="Y54" s="5"/>
      <c r="Z54" s="5"/>
      <c r="AA54" s="4"/>
      <c r="AB54" s="4"/>
      <c r="AC54" s="4"/>
      <c r="AD54" s="4"/>
      <c r="AE54" s="4"/>
    </row>
    <row r="55" spans="1:33" ht="19.5" customHeight="1" x14ac:dyDescent="0.2">
      <c r="A55" s="99"/>
      <c r="B55" s="100" t="s">
        <v>77</v>
      </c>
      <c r="C55" s="101"/>
      <c r="D55" s="3"/>
      <c r="E55" s="75"/>
      <c r="F55" s="4" t="s">
        <v>142</v>
      </c>
      <c r="G55" s="4"/>
      <c r="H55" s="4"/>
      <c r="I55" s="4"/>
      <c r="J55" s="4"/>
      <c r="K55" s="4"/>
      <c r="L55" s="53"/>
      <c r="M55" s="4"/>
      <c r="N55" s="4"/>
      <c r="O55" s="4"/>
      <c r="P55" s="4"/>
      <c r="Q55" s="4"/>
      <c r="R55" s="4"/>
      <c r="S55" s="4"/>
      <c r="T55" s="77" t="s">
        <v>144</v>
      </c>
      <c r="U55" s="77"/>
      <c r="V55" s="18"/>
      <c r="W55" s="19"/>
      <c r="X55" s="18"/>
      <c r="Y55" s="3"/>
      <c r="Z55" s="5"/>
      <c r="AA55" s="4"/>
      <c r="AB55" s="4"/>
      <c r="AC55" s="4"/>
      <c r="AD55" s="4"/>
      <c r="AE55" s="4"/>
    </row>
    <row r="56" spans="1:33" ht="19.5" customHeight="1" x14ac:dyDescent="0.2">
      <c r="A56" s="4"/>
      <c r="B56" s="4"/>
      <c r="C56" s="4"/>
      <c r="D56" s="3"/>
      <c r="E56" s="76"/>
      <c r="F56" s="4" t="s">
        <v>143</v>
      </c>
      <c r="G56" s="4"/>
      <c r="H56" s="4"/>
      <c r="I56" s="4"/>
      <c r="J56" s="4"/>
      <c r="K56" s="4"/>
      <c r="L56" s="53"/>
      <c r="M56" s="4"/>
      <c r="N56" s="4"/>
      <c r="O56" s="4"/>
      <c r="P56" s="4"/>
      <c r="Q56" s="4"/>
      <c r="R56" s="4"/>
      <c r="S56" s="4"/>
      <c r="T56" s="4"/>
      <c r="U56" s="78"/>
      <c r="V56" s="4"/>
      <c r="W56" s="3"/>
      <c r="X56" s="3"/>
      <c r="Y56" s="3"/>
      <c r="Z56" s="5"/>
      <c r="AA56" s="4"/>
      <c r="AB56" s="4"/>
      <c r="AC56" s="4"/>
      <c r="AD56" s="4"/>
      <c r="AE56" s="4"/>
    </row>
    <row r="57" spans="1:33" ht="19.5" customHeight="1" x14ac:dyDescent="0.2">
      <c r="A57" s="4"/>
      <c r="B57" s="4"/>
      <c r="C57" s="4"/>
      <c r="D57" s="3"/>
      <c r="L57" s="53"/>
      <c r="M57" s="4"/>
      <c r="N57" s="4"/>
      <c r="O57" s="4"/>
      <c r="P57" s="4"/>
      <c r="Q57" s="4"/>
      <c r="R57" s="4"/>
      <c r="S57" s="4"/>
      <c r="T57" s="4"/>
      <c r="U57" s="78"/>
      <c r="V57" s="4"/>
      <c r="W57" s="3"/>
      <c r="X57" s="3"/>
      <c r="Y57" s="3"/>
      <c r="Z57" s="5"/>
      <c r="AA57" s="4"/>
      <c r="AB57" s="4"/>
      <c r="AC57" s="4"/>
      <c r="AD57" s="4"/>
      <c r="AE57" s="4"/>
    </row>
    <row r="58" spans="1:33" ht="19.5" customHeight="1" x14ac:dyDescent="0.2">
      <c r="A58" s="4"/>
      <c r="B58" s="4"/>
      <c r="C58" s="4"/>
      <c r="D58" s="3"/>
      <c r="L58" s="53"/>
      <c r="M58" s="4"/>
      <c r="N58" s="4"/>
      <c r="O58" s="4"/>
      <c r="P58" s="4"/>
      <c r="Q58" s="4"/>
      <c r="R58" s="4"/>
      <c r="S58" s="4"/>
      <c r="T58" s="4"/>
      <c r="U58" s="78"/>
      <c r="V58" s="4"/>
      <c r="W58" s="3"/>
      <c r="X58" s="3"/>
      <c r="Y58" s="3"/>
      <c r="Z58" s="5"/>
      <c r="AA58" s="4"/>
      <c r="AB58" s="4"/>
      <c r="AC58" s="4"/>
      <c r="AD58" s="4"/>
      <c r="AE58" s="4"/>
      <c r="AF58" s="4"/>
      <c r="AG58" s="4"/>
    </row>
    <row r="59" spans="1:33" ht="19.5" customHeight="1" x14ac:dyDescent="0.2">
      <c r="A59" s="4"/>
      <c r="B59" s="4"/>
      <c r="C59" s="4"/>
      <c r="D59" s="3"/>
      <c r="L59" s="53"/>
      <c r="M59" s="4"/>
      <c r="N59" s="4"/>
      <c r="O59" s="4"/>
      <c r="P59" s="4"/>
      <c r="Q59" s="4"/>
      <c r="R59" s="4"/>
      <c r="S59" s="4"/>
      <c r="T59" s="4"/>
      <c r="U59" s="78"/>
      <c r="V59" s="4"/>
      <c r="W59" s="3"/>
      <c r="X59" s="3"/>
      <c r="Y59" s="3"/>
      <c r="Z59" s="5"/>
      <c r="AA59" s="4"/>
      <c r="AB59" s="4"/>
      <c r="AC59" s="4"/>
      <c r="AD59" s="4"/>
      <c r="AE59" s="4"/>
      <c r="AF59" s="4"/>
      <c r="AG59" s="4"/>
    </row>
    <row r="60" spans="1:33" ht="19.5" customHeight="1" x14ac:dyDescent="0.2">
      <c r="A60" s="4"/>
      <c r="B60" s="4"/>
      <c r="C60" s="4"/>
      <c r="D60" s="3"/>
      <c r="M60" s="4"/>
      <c r="N60" s="4"/>
      <c r="O60" s="4"/>
      <c r="P60" s="4"/>
      <c r="Q60" s="4"/>
      <c r="R60" s="4"/>
      <c r="S60" s="4"/>
      <c r="T60" s="4"/>
      <c r="U60" s="78"/>
      <c r="V60" s="4"/>
      <c r="W60" s="3"/>
      <c r="X60" s="3"/>
      <c r="Y60" s="3"/>
      <c r="Z60" s="5"/>
      <c r="AA60" s="4"/>
      <c r="AB60" s="4"/>
      <c r="AC60" s="4"/>
      <c r="AD60" s="4"/>
      <c r="AE60" s="4"/>
      <c r="AF60" s="4"/>
      <c r="AG60" s="4"/>
    </row>
    <row r="61" spans="1:33" ht="19.5" customHeight="1" x14ac:dyDescent="0.2">
      <c r="A61" s="4"/>
      <c r="B61" s="4"/>
      <c r="C61" s="4"/>
      <c r="D61" s="3"/>
      <c r="M61" s="4"/>
      <c r="N61" s="4"/>
      <c r="O61" s="4"/>
      <c r="P61" s="4"/>
      <c r="Q61" s="4"/>
      <c r="R61" s="4"/>
      <c r="S61" s="4"/>
      <c r="T61" s="4"/>
      <c r="U61" s="78"/>
      <c r="V61" s="4"/>
      <c r="W61" s="3"/>
      <c r="X61" s="3"/>
      <c r="Y61" s="3"/>
      <c r="Z61" s="5"/>
      <c r="AA61" s="4"/>
      <c r="AB61" s="4"/>
      <c r="AC61" s="4"/>
      <c r="AD61" s="4"/>
      <c r="AE61" s="4"/>
      <c r="AF61" s="4"/>
      <c r="AG61" s="4"/>
    </row>
    <row r="62" spans="1:33" ht="19.5" customHeight="1" x14ac:dyDescent="0.2">
      <c r="A62" s="4"/>
      <c r="B62" s="4"/>
      <c r="C62" s="4"/>
      <c r="D62" s="3"/>
      <c r="M62" s="4"/>
      <c r="N62" s="4"/>
      <c r="O62" s="4"/>
      <c r="P62" s="4"/>
      <c r="Q62" s="4"/>
      <c r="R62" s="4"/>
      <c r="S62" s="4"/>
      <c r="T62" s="4"/>
      <c r="U62" s="78"/>
      <c r="V62" s="4"/>
      <c r="W62" s="3"/>
      <c r="X62" s="3"/>
      <c r="Y62" s="3"/>
      <c r="Z62" s="5"/>
      <c r="AA62" s="4"/>
      <c r="AB62" s="4"/>
      <c r="AC62" s="4"/>
      <c r="AD62" s="4"/>
      <c r="AE62" s="4"/>
      <c r="AF62" s="4"/>
      <c r="AG62" s="4"/>
    </row>
    <row r="63" spans="1:33" ht="19.5" customHeight="1" x14ac:dyDescent="0.2">
      <c r="A63" s="4"/>
      <c r="B63" s="4"/>
      <c r="C63" s="4"/>
      <c r="D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3"/>
      <c r="X63" s="3"/>
      <c r="Y63" s="3"/>
      <c r="Z63" s="5"/>
      <c r="AA63" s="4"/>
      <c r="AB63" s="4"/>
      <c r="AC63" s="4"/>
      <c r="AD63" s="4"/>
      <c r="AE63" s="4"/>
      <c r="AF63" s="4"/>
      <c r="AG63" s="4"/>
    </row>
    <row r="64" spans="1:33" ht="19.5" customHeight="1" x14ac:dyDescent="0.2">
      <c r="A64" s="4"/>
      <c r="B64" s="4"/>
      <c r="C64" s="4"/>
      <c r="D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3"/>
      <c r="X64" s="3"/>
      <c r="Y64" s="3"/>
      <c r="Z64" s="5"/>
      <c r="AA64" s="4"/>
      <c r="AB64" s="4"/>
      <c r="AC64" s="4"/>
      <c r="AD64" s="4"/>
      <c r="AE64" s="4"/>
      <c r="AF64" s="4"/>
      <c r="AG64" s="4"/>
    </row>
    <row r="65" spans="1:33" ht="19.5" customHeight="1" x14ac:dyDescent="0.2">
      <c r="A65" s="4"/>
      <c r="B65" s="4"/>
      <c r="C65" s="4"/>
      <c r="D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3"/>
      <c r="X65" s="3"/>
      <c r="Y65" s="3"/>
      <c r="Z65" s="5"/>
      <c r="AA65" s="4"/>
      <c r="AB65" s="4"/>
      <c r="AC65" s="4"/>
      <c r="AD65" s="4"/>
      <c r="AE65" s="4"/>
      <c r="AF65" s="4"/>
      <c r="AG65" s="4"/>
    </row>
    <row r="66" spans="1:33" ht="19.5" customHeight="1" x14ac:dyDescent="0.2">
      <c r="A66" s="4"/>
      <c r="B66" s="4"/>
      <c r="C66" s="4"/>
      <c r="D66" s="3"/>
      <c r="M66" s="4"/>
      <c r="N66" s="4"/>
      <c r="O66" s="4"/>
      <c r="P66" s="4"/>
      <c r="Q66" s="4"/>
      <c r="R66" s="4"/>
      <c r="S66" s="4"/>
      <c r="T66" s="4"/>
      <c r="U66" s="5"/>
      <c r="V66" s="4"/>
      <c r="W66" s="3"/>
      <c r="X66" s="3"/>
      <c r="Y66" s="3"/>
      <c r="Z66" s="5"/>
      <c r="AA66" s="4"/>
      <c r="AB66" s="4"/>
      <c r="AC66" s="4"/>
      <c r="AD66" s="4"/>
      <c r="AE66" s="4"/>
      <c r="AF66" s="4"/>
      <c r="AG66" s="4"/>
    </row>
    <row r="67" spans="1:33" ht="19.5" customHeight="1" x14ac:dyDescent="0.2">
      <c r="A67" s="4"/>
      <c r="B67" s="4"/>
      <c r="C67" s="4"/>
      <c r="D67" s="3"/>
      <c r="M67" s="4"/>
      <c r="N67" s="4"/>
      <c r="O67" s="4"/>
      <c r="P67" s="4"/>
      <c r="Q67" s="4"/>
      <c r="R67" s="4"/>
      <c r="S67" s="4"/>
      <c r="T67" s="4"/>
      <c r="U67" s="5"/>
      <c r="V67" s="4"/>
      <c r="W67" s="3"/>
      <c r="X67" s="3"/>
      <c r="Y67" s="3"/>
      <c r="Z67" s="5"/>
      <c r="AA67" s="4"/>
      <c r="AB67" s="4"/>
      <c r="AC67" s="4"/>
      <c r="AD67" s="4"/>
      <c r="AE67" s="4"/>
      <c r="AF67" s="4"/>
      <c r="AG67" s="4"/>
    </row>
    <row r="68" spans="1:33" ht="19.5" customHeight="1" x14ac:dyDescent="0.2">
      <c r="A68" s="4"/>
      <c r="B68" s="4"/>
      <c r="C68" s="4"/>
      <c r="D68" s="3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3"/>
      <c r="Y68" s="3"/>
      <c r="Z68" s="4"/>
      <c r="AA68" s="4"/>
      <c r="AB68" s="4"/>
      <c r="AC68" s="4"/>
      <c r="AD68" s="4"/>
      <c r="AE68" s="4"/>
      <c r="AF68" s="4"/>
      <c r="AG68" s="4"/>
    </row>
    <row r="69" spans="1:33" ht="19.5" customHeight="1" x14ac:dyDescent="0.2">
      <c r="A69" s="4"/>
      <c r="B69" s="4"/>
      <c r="C69" s="4"/>
      <c r="D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9.5" customHeight="1" x14ac:dyDescent="0.2">
      <c r="A70" s="4"/>
      <c r="B70" s="4"/>
      <c r="C70" s="4"/>
      <c r="D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9.5" customHeight="1" x14ac:dyDescent="0.2">
      <c r="A71" s="4"/>
      <c r="B71" s="4"/>
      <c r="C71" s="4"/>
      <c r="D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9.5" customHeight="1" x14ac:dyDescent="0.2">
      <c r="A72" s="4"/>
      <c r="B72" s="4"/>
      <c r="C72" s="4"/>
      <c r="D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9.5" customHeight="1" x14ac:dyDescent="0.2">
      <c r="A73" s="4"/>
      <c r="B73" s="4"/>
      <c r="C73" s="4"/>
      <c r="D73" s="3"/>
      <c r="E73" s="4"/>
      <c r="F73" s="4"/>
      <c r="G73" s="4"/>
      <c r="H73" s="4"/>
      <c r="I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9.5" customHeight="1" x14ac:dyDescent="0.2">
      <c r="A74" s="4"/>
      <c r="B74" s="4"/>
      <c r="C74" s="4"/>
      <c r="D74" s="3"/>
      <c r="E74" s="4"/>
      <c r="F74" s="4"/>
      <c r="G74" s="4"/>
      <c r="H74" s="4"/>
      <c r="I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9.5" customHeight="1" x14ac:dyDescent="0.2">
      <c r="A75" s="4"/>
      <c r="B75" s="4"/>
      <c r="C75" s="4"/>
      <c r="D75" s="3"/>
      <c r="E75" s="4"/>
      <c r="F75" s="4"/>
      <c r="G75" s="4"/>
      <c r="H75" s="4"/>
      <c r="I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9.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9.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9.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8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9.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9.5" customHeight="1" x14ac:dyDescent="0.2">
      <c r="A81" s="4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9.5" customHeight="1" x14ac:dyDescent="0.2">
      <c r="A82" s="4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9.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9.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9.5" customHeight="1" x14ac:dyDescent="0.2">
      <c r="A85" s="4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9.5" customHeight="1" x14ac:dyDescent="0.2">
      <c r="A86" s="4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9.5" customHeight="1" x14ac:dyDescent="0.2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9.5" customHeight="1" x14ac:dyDescent="0.2">
      <c r="A88" s="4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9.5" customHeight="1" x14ac:dyDescent="0.2">
      <c r="A89" s="4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9.5" customHeight="1" x14ac:dyDescent="0.2">
      <c r="A90" s="4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9.5" customHeight="1" x14ac:dyDescent="0.2">
      <c r="A91" s="4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9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9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9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9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9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9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9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9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9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9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9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9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9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9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9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9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9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9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9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9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9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9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9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9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9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9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9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9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9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9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9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9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9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9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9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9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9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9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9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9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9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9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9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9.5" customHeight="1" x14ac:dyDescent="0.2">
      <c r="A135" s="4">
        <v>65232043.200000003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9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9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9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9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9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9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9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9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9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9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9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9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9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9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9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9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9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9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9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9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9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9.5" customHeight="1" x14ac:dyDescent="0.2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9.5" customHeight="1" x14ac:dyDescent="0.2">
      <c r="A158" s="4"/>
      <c r="B158" s="4"/>
      <c r="C158" s="4"/>
      <c r="D158" s="4"/>
      <c r="E158" s="4"/>
      <c r="J158" s="4"/>
      <c r="K158" s="4"/>
      <c r="L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9.5" customHeight="1" x14ac:dyDescent="0.2">
      <c r="A159" s="4"/>
      <c r="B159" s="4"/>
      <c r="C159" s="4"/>
      <c r="D159" s="4"/>
      <c r="E159" s="4"/>
      <c r="J159" s="4"/>
      <c r="K159" s="4"/>
      <c r="L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9.5" customHeight="1" x14ac:dyDescent="0.2">
      <c r="A160" s="4"/>
      <c r="B160" s="4"/>
      <c r="C160" s="4"/>
      <c r="D160" s="4"/>
      <c r="J160" s="4"/>
      <c r="K160" s="4"/>
      <c r="L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9.5" customHeight="1" x14ac:dyDescent="0.2">
      <c r="A161" s="4"/>
      <c r="B161" s="4"/>
      <c r="C161" s="4"/>
      <c r="D161" s="4"/>
      <c r="J161" s="4"/>
      <c r="K161" s="4"/>
      <c r="L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9.5" customHeight="1" x14ac:dyDescent="0.2">
      <c r="A162" s="4"/>
      <c r="B162" s="4"/>
      <c r="C162" s="4"/>
      <c r="D162" s="4"/>
      <c r="J162" s="4"/>
      <c r="K162" s="4"/>
      <c r="L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9.5" customHeight="1" x14ac:dyDescent="0.2">
      <c r="A163" s="4"/>
      <c r="B163" s="4"/>
      <c r="C163" s="4"/>
      <c r="D163" s="4"/>
      <c r="J163" s="4"/>
      <c r="K163" s="4"/>
      <c r="L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9.5" customHeight="1" x14ac:dyDescent="0.2">
      <c r="A164" s="4"/>
      <c r="B164" s="4"/>
      <c r="C164" s="4"/>
      <c r="D164" s="4"/>
      <c r="J164" s="4"/>
      <c r="K164" s="4"/>
      <c r="L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9.5" customHeight="1" x14ac:dyDescent="0.2">
      <c r="A165" s="4"/>
      <c r="B165" s="4"/>
      <c r="C165" s="4"/>
      <c r="D165" s="4"/>
      <c r="J165" s="4"/>
      <c r="K165" s="4"/>
      <c r="L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9.5" customHeight="1" x14ac:dyDescent="0.2">
      <c r="A166" s="4"/>
      <c r="B166" s="4"/>
      <c r="C166" s="4"/>
      <c r="D166" s="4"/>
      <c r="J166" s="4"/>
      <c r="K166" s="4"/>
      <c r="L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9.5" customHeight="1" x14ac:dyDescent="0.2">
      <c r="A167" s="4"/>
      <c r="B167" s="4"/>
      <c r="C167" s="4"/>
      <c r="D167" s="4"/>
      <c r="K167" s="4"/>
      <c r="L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9.5" customHeight="1" x14ac:dyDescent="0.2">
      <c r="A168" s="4"/>
      <c r="B168" s="4"/>
      <c r="C168" s="4"/>
      <c r="D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9.5" customHeight="1" x14ac:dyDescent="0.2">
      <c r="A169" s="4"/>
      <c r="B169" s="4"/>
      <c r="C169" s="4"/>
      <c r="D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9.5" customHeight="1" x14ac:dyDescent="0.2">
      <c r="A170" s="4"/>
      <c r="B170" s="4"/>
      <c r="C170" s="4"/>
      <c r="D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9.5" customHeight="1" x14ac:dyDescent="0.2">
      <c r="A171" s="4"/>
      <c r="B171" s="4"/>
      <c r="C171" s="4"/>
      <c r="D171" s="4"/>
      <c r="N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9.5" customHeight="1" x14ac:dyDescent="0.2">
      <c r="A172" s="4"/>
      <c r="B172" s="4"/>
      <c r="C172" s="4"/>
      <c r="D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9.5" customHeight="1" x14ac:dyDescent="0.2">
      <c r="A173" s="4"/>
      <c r="B173" s="4"/>
      <c r="C173" s="4"/>
      <c r="D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9.5" customHeight="1" x14ac:dyDescent="0.2">
      <c r="A174" s="4"/>
      <c r="B174" s="4"/>
      <c r="C174" s="4"/>
      <c r="D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9.5" customHeight="1" x14ac:dyDescent="0.2">
      <c r="A175" s="4"/>
      <c r="B175" s="4"/>
      <c r="C175" s="4"/>
      <c r="D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9.5" customHeight="1" x14ac:dyDescent="0.2">
      <c r="A176" s="4"/>
      <c r="B176" s="4"/>
      <c r="C176" s="4"/>
      <c r="D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9.5" customHeight="1" x14ac:dyDescent="0.2">
      <c r="A177" s="4"/>
      <c r="B177" s="4"/>
      <c r="C177" s="4"/>
      <c r="D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9.5" customHeight="1" x14ac:dyDescent="0.2">
      <c r="A178" s="4"/>
      <c r="B178" s="4"/>
      <c r="C178" s="4"/>
      <c r="D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9.5" customHeight="1" x14ac:dyDescent="0.2">
      <c r="A179" s="4"/>
      <c r="B179" s="4"/>
      <c r="C179" s="4"/>
      <c r="D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9.5" customHeight="1" x14ac:dyDescent="0.2">
      <c r="A180" s="4"/>
      <c r="B180" s="4"/>
      <c r="C180" s="4"/>
      <c r="D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9.5" customHeight="1" x14ac:dyDescent="0.2">
      <c r="A181" s="4"/>
      <c r="B181" s="4"/>
      <c r="C181" s="4"/>
      <c r="D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9.5" customHeight="1" x14ac:dyDescent="0.2">
      <c r="A182" s="4"/>
      <c r="B182" s="4"/>
      <c r="C182" s="4"/>
      <c r="D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9.5" customHeight="1" x14ac:dyDescent="0.2">
      <c r="A183" s="4"/>
      <c r="B183" s="4"/>
      <c r="C183" s="4"/>
      <c r="D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9.5" customHeight="1" x14ac:dyDescent="0.2">
      <c r="A184" s="4"/>
      <c r="B184" s="4"/>
      <c r="C184" s="4"/>
      <c r="D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9.5" customHeight="1" x14ac:dyDescent="0.2">
      <c r="A185" s="4"/>
      <c r="B185" s="4"/>
      <c r="C185" s="4"/>
      <c r="D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9.5" customHeight="1" x14ac:dyDescent="0.2">
      <c r="A186" s="4"/>
      <c r="B186" s="4"/>
      <c r="C186" s="4"/>
      <c r="D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9.5" customHeight="1" x14ac:dyDescent="0.2">
      <c r="A187" s="4"/>
      <c r="B187" s="4"/>
      <c r="C187" s="4"/>
      <c r="D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9.5" customHeight="1" x14ac:dyDescent="0.2">
      <c r="A188" s="4"/>
      <c r="B188" s="4"/>
      <c r="C188" s="4"/>
      <c r="D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9.5" customHeight="1" x14ac:dyDescent="0.2">
      <c r="A189" s="4"/>
      <c r="B189" s="4"/>
      <c r="C189" s="4"/>
      <c r="D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9.5" customHeight="1" x14ac:dyDescent="0.2">
      <c r="A190" s="4"/>
      <c r="B190" s="4"/>
      <c r="C190" s="4"/>
      <c r="D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9.5" customHeight="1" x14ac:dyDescent="0.2">
      <c r="A191" s="4"/>
      <c r="B191" s="4"/>
      <c r="C191" s="4"/>
      <c r="D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9.5" customHeight="1" x14ac:dyDescent="0.2">
      <c r="A192" s="4"/>
      <c r="B192" s="4"/>
      <c r="C192" s="4"/>
      <c r="D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9.5" customHeight="1" x14ac:dyDescent="0.2">
      <c r="A193" s="4"/>
      <c r="B193" s="4"/>
      <c r="C193" s="4"/>
      <c r="D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9.5" customHeight="1" x14ac:dyDescent="0.2">
      <c r="A194" s="4"/>
      <c r="B194" s="4"/>
      <c r="C194" s="4"/>
      <c r="D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9.5" customHeight="1" x14ac:dyDescent="0.2">
      <c r="A195" s="4"/>
      <c r="B195" s="4"/>
      <c r="C195" s="4"/>
      <c r="D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9.5" customHeight="1" x14ac:dyDescent="0.2">
      <c r="A196" s="4"/>
      <c r="B196" s="4"/>
      <c r="C196" s="4"/>
      <c r="D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9.5" customHeight="1" x14ac:dyDescent="0.2">
      <c r="A197" s="4"/>
      <c r="B197" s="4"/>
      <c r="C197" s="4"/>
      <c r="D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9.5" customHeight="1" x14ac:dyDescent="0.2">
      <c r="A198" s="4"/>
      <c r="B198" s="4"/>
      <c r="C198" s="4"/>
      <c r="D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9.5" customHeight="1" x14ac:dyDescent="0.2">
      <c r="A199" s="4"/>
      <c r="B199" s="4"/>
      <c r="C199" s="4"/>
      <c r="D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9.5" customHeight="1" x14ac:dyDescent="0.2">
      <c r="A200" s="4"/>
      <c r="B200" s="4"/>
      <c r="C200" s="4"/>
      <c r="D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9.5" customHeight="1" x14ac:dyDescent="0.2">
      <c r="A201" s="4"/>
      <c r="B201" s="4"/>
      <c r="C201" s="4"/>
      <c r="D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9.5" customHeight="1" x14ac:dyDescent="0.2">
      <c r="A202" s="4"/>
      <c r="B202" s="4"/>
      <c r="C202" s="4"/>
      <c r="D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9.5" customHeight="1" x14ac:dyDescent="0.2">
      <c r="A203" s="4"/>
      <c r="B203" s="4"/>
      <c r="C203" s="4"/>
      <c r="D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9.5" customHeight="1" x14ac:dyDescent="0.2">
      <c r="A204" s="4"/>
      <c r="B204" s="4"/>
      <c r="C204" s="4"/>
      <c r="D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9.5" customHeight="1" x14ac:dyDescent="0.2">
      <c r="A205" s="4"/>
      <c r="B205" s="4"/>
      <c r="C205" s="4"/>
      <c r="D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9.5" customHeight="1" x14ac:dyDescent="0.2">
      <c r="A206" s="4"/>
      <c r="B206" s="4"/>
      <c r="C206" s="4"/>
      <c r="D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9.5" customHeight="1" x14ac:dyDescent="0.2">
      <c r="A207" s="4"/>
      <c r="B207" s="4"/>
      <c r="C207" s="4"/>
      <c r="D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9.5" customHeight="1" x14ac:dyDescent="0.2">
      <c r="A208" s="4"/>
      <c r="B208" s="4"/>
      <c r="C208" s="4"/>
      <c r="D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9.5" customHeight="1" x14ac:dyDescent="0.2">
      <c r="A209" s="4"/>
      <c r="B209" s="4"/>
      <c r="C209" s="4"/>
      <c r="D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9.5" customHeight="1" x14ac:dyDescent="0.2">
      <c r="A210" s="4"/>
      <c r="B210" s="4"/>
      <c r="C210" s="4"/>
      <c r="D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9.5" customHeight="1" x14ac:dyDescent="0.2">
      <c r="A211" s="4"/>
      <c r="B211" s="4"/>
      <c r="C211" s="4"/>
      <c r="D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9.5" customHeight="1" x14ac:dyDescent="0.2">
      <c r="A212" s="4"/>
      <c r="B212" s="4"/>
      <c r="C212" s="4"/>
      <c r="D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9.5" customHeight="1" x14ac:dyDescent="0.2">
      <c r="A213" s="4"/>
      <c r="B213" s="4"/>
      <c r="C213" s="4"/>
      <c r="D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9.5" customHeight="1" x14ac:dyDescent="0.2">
      <c r="A214" s="4"/>
      <c r="B214" s="4"/>
      <c r="C214" s="4"/>
      <c r="D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9.5" customHeight="1" x14ac:dyDescent="0.2">
      <c r="A215" s="4"/>
      <c r="B215" s="4"/>
      <c r="C215" s="4"/>
      <c r="D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9.5" customHeight="1" x14ac:dyDescent="0.2">
      <c r="A216" s="4"/>
      <c r="B216" s="4"/>
      <c r="C216" s="4"/>
      <c r="D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9.5" customHeight="1" x14ac:dyDescent="0.2">
      <c r="A217" s="4"/>
      <c r="B217" s="4"/>
      <c r="C217" s="4"/>
      <c r="D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9.5" customHeight="1" x14ac:dyDescent="0.2">
      <c r="A218" s="4"/>
      <c r="B218" s="4"/>
      <c r="C218" s="4"/>
      <c r="D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9.5" customHeight="1" x14ac:dyDescent="0.2">
      <c r="A219" s="4"/>
      <c r="B219" s="4"/>
      <c r="C219" s="4"/>
      <c r="D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9.5" customHeight="1" x14ac:dyDescent="0.2">
      <c r="A220" s="4"/>
      <c r="B220" s="4"/>
      <c r="C220" s="4"/>
      <c r="D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9.5" customHeight="1" x14ac:dyDescent="0.2">
      <c r="A221" s="4"/>
      <c r="B221" s="4"/>
      <c r="C221" s="4"/>
      <c r="D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9.5" customHeight="1" x14ac:dyDescent="0.2">
      <c r="A222" s="4"/>
      <c r="B222" s="4"/>
      <c r="C222" s="4"/>
      <c r="D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9.5" customHeight="1" x14ac:dyDescent="0.2">
      <c r="A223" s="4"/>
      <c r="B223" s="4"/>
      <c r="C223" s="4"/>
      <c r="D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9.5" customHeight="1" x14ac:dyDescent="0.2">
      <c r="A224" s="4"/>
      <c r="B224" s="4"/>
      <c r="C224" s="4"/>
      <c r="D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9.5" customHeight="1" x14ac:dyDescent="0.2">
      <c r="A225" s="4"/>
      <c r="B225" s="4"/>
      <c r="C225" s="4"/>
      <c r="D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9.5" customHeight="1" x14ac:dyDescent="0.2">
      <c r="A226" s="4"/>
      <c r="B226" s="4"/>
      <c r="C226" s="4"/>
      <c r="D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9.5" customHeight="1" x14ac:dyDescent="0.2">
      <c r="A227" s="4"/>
      <c r="B227" s="4"/>
      <c r="C227" s="4"/>
      <c r="D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9.5" customHeight="1" x14ac:dyDescent="0.2">
      <c r="A228" s="4"/>
      <c r="B228" s="4"/>
      <c r="C228" s="4"/>
      <c r="D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9.5" customHeight="1" x14ac:dyDescent="0.2">
      <c r="A229" s="4"/>
      <c r="B229" s="4"/>
      <c r="C229" s="4"/>
      <c r="D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9.5" customHeight="1" x14ac:dyDescent="0.2">
      <c r="A230" s="4"/>
      <c r="B230" s="4"/>
      <c r="C230" s="4"/>
      <c r="D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9.5" customHeight="1" x14ac:dyDescent="0.2">
      <c r="A231" s="4"/>
      <c r="B231" s="4"/>
      <c r="C231" s="4"/>
      <c r="D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9.5" customHeight="1" x14ac:dyDescent="0.2">
      <c r="A232" s="4"/>
      <c r="B232" s="4"/>
      <c r="C232" s="4"/>
      <c r="D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9.5" customHeight="1" x14ac:dyDescent="0.2">
      <c r="A233" s="4"/>
      <c r="B233" s="4"/>
      <c r="C233" s="4"/>
      <c r="D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9.5" customHeight="1" x14ac:dyDescent="0.2">
      <c r="A234" s="4"/>
      <c r="B234" s="4"/>
      <c r="C234" s="4"/>
      <c r="D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9.5" customHeight="1" x14ac:dyDescent="0.2">
      <c r="A235" s="4"/>
      <c r="B235" s="4"/>
      <c r="C235" s="4"/>
      <c r="D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9.5" customHeight="1" x14ac:dyDescent="0.2">
      <c r="A236" s="4"/>
      <c r="B236" s="4"/>
      <c r="C236" s="4"/>
      <c r="D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9.5" customHeight="1" x14ac:dyDescent="0.2">
      <c r="A237" s="4"/>
      <c r="B237" s="4"/>
      <c r="C237" s="4"/>
      <c r="D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9.5" customHeight="1" x14ac:dyDescent="0.2">
      <c r="A238" s="4"/>
      <c r="B238" s="4"/>
      <c r="C238" s="4"/>
      <c r="D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9.5" customHeight="1" x14ac:dyDescent="0.2">
      <c r="A239" s="4"/>
      <c r="B239" s="4"/>
      <c r="C239" s="4"/>
      <c r="D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9.5" customHeight="1" x14ac:dyDescent="0.2">
      <c r="A240" s="4"/>
      <c r="B240" s="4"/>
      <c r="C240" s="4"/>
      <c r="D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9.5" customHeight="1" x14ac:dyDescent="0.2">
      <c r="A241" s="4"/>
      <c r="B241" s="4"/>
      <c r="C241" s="4"/>
      <c r="D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9.5" customHeight="1" x14ac:dyDescent="0.2">
      <c r="A242" s="4"/>
      <c r="B242" s="4"/>
      <c r="C242" s="4"/>
      <c r="D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9.5" customHeight="1" x14ac:dyDescent="0.2">
      <c r="A243" s="4"/>
      <c r="B243" s="4"/>
      <c r="C243" s="4"/>
      <c r="D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9.5" customHeight="1" x14ac:dyDescent="0.2">
      <c r="A244" s="4"/>
      <c r="B244" s="4"/>
      <c r="C244" s="4"/>
      <c r="D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9.5" customHeight="1" x14ac:dyDescent="0.2">
      <c r="A245" s="4"/>
      <c r="B245" s="4"/>
      <c r="C245" s="4"/>
      <c r="D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9.5" customHeight="1" x14ac:dyDescent="0.2">
      <c r="A246" s="4"/>
      <c r="B246" s="4"/>
      <c r="C246" s="4"/>
      <c r="D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9.5" customHeight="1" x14ac:dyDescent="0.2">
      <c r="A247" s="4"/>
      <c r="B247" s="4"/>
      <c r="C247" s="4"/>
      <c r="D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9.5" customHeight="1" x14ac:dyDescent="0.2">
      <c r="A248" s="4"/>
      <c r="B248" s="4"/>
      <c r="C248" s="4"/>
      <c r="D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9.5" customHeight="1" x14ac:dyDescent="0.2">
      <c r="A249" s="4"/>
      <c r="B249" s="4"/>
      <c r="C249" s="4"/>
      <c r="D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9.5" customHeight="1" x14ac:dyDescent="0.2">
      <c r="A250" s="4"/>
      <c r="B250" s="4"/>
      <c r="C250" s="4"/>
      <c r="D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9.5" customHeight="1" x14ac:dyDescent="0.2">
      <c r="A251" s="4"/>
      <c r="B251" s="4"/>
      <c r="C251" s="4"/>
      <c r="D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9.5" customHeight="1" x14ac:dyDescent="0.2">
      <c r="A252" s="4"/>
      <c r="B252" s="4"/>
      <c r="C252" s="4"/>
      <c r="D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9.5" customHeight="1" x14ac:dyDescent="0.2">
      <c r="A253" s="4"/>
      <c r="B253" s="4"/>
      <c r="C253" s="4"/>
      <c r="D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9.5" customHeight="1" x14ac:dyDescent="0.2">
      <c r="A254" s="4"/>
      <c r="B254" s="4"/>
      <c r="C254" s="4"/>
      <c r="D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9.5" customHeight="1" x14ac:dyDescent="0.2">
      <c r="A255" s="4"/>
      <c r="B255" s="4"/>
      <c r="C255" s="4"/>
      <c r="D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9.5" customHeight="1" x14ac:dyDescent="0.2">
      <c r="A256" s="4"/>
      <c r="B256" s="4"/>
      <c r="C256" s="4"/>
      <c r="D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9.5" customHeight="1" x14ac:dyDescent="0.2">
      <c r="A257" s="4"/>
      <c r="B257" s="4"/>
      <c r="C257" s="4"/>
      <c r="D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9.5" customHeight="1" x14ac:dyDescent="0.2">
      <c r="A258" s="4"/>
      <c r="B258" s="4"/>
      <c r="C258" s="4"/>
      <c r="D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9.5" customHeight="1" x14ac:dyDescent="0.2">
      <c r="A259" s="4"/>
      <c r="B259" s="4"/>
      <c r="C259" s="4"/>
      <c r="D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9.5" customHeight="1" x14ac:dyDescent="0.2">
      <c r="A260" s="4"/>
      <c r="B260" s="4"/>
      <c r="C260" s="4"/>
      <c r="D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9.5" customHeight="1" x14ac:dyDescent="0.2">
      <c r="A261" s="4"/>
      <c r="B261" s="4"/>
      <c r="C261" s="4"/>
      <c r="D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9.5" customHeight="1" x14ac:dyDescent="0.2">
      <c r="A262" s="4"/>
      <c r="B262" s="4"/>
      <c r="C262" s="4"/>
      <c r="D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9.5" customHeight="1" x14ac:dyDescent="0.2">
      <c r="A263" s="4"/>
      <c r="B263" s="4"/>
      <c r="C263" s="4"/>
      <c r="D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9.5" customHeight="1" x14ac:dyDescent="0.2">
      <c r="A264" s="4"/>
      <c r="B264" s="4"/>
      <c r="C264" s="4"/>
      <c r="D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9.5" customHeight="1" x14ac:dyDescent="0.2">
      <c r="A265" s="4"/>
      <c r="B265" s="4"/>
      <c r="C265" s="4"/>
      <c r="D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9.5" customHeight="1" x14ac:dyDescent="0.2">
      <c r="A266" s="4"/>
      <c r="B266" s="4"/>
      <c r="C266" s="4"/>
      <c r="D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9.5" customHeight="1" x14ac:dyDescent="0.2">
      <c r="A267" s="4"/>
      <c r="B267" s="4"/>
      <c r="C267" s="4"/>
      <c r="D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9.5" customHeight="1" x14ac:dyDescent="0.2">
      <c r="A268" s="4"/>
      <c r="B268" s="4"/>
      <c r="C268" s="4"/>
      <c r="D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9.5" customHeight="1" x14ac:dyDescent="0.2">
      <c r="A269" s="4"/>
      <c r="B269" s="4"/>
      <c r="C269" s="4"/>
      <c r="D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9.5" customHeight="1" x14ac:dyDescent="0.2">
      <c r="A270" s="4"/>
      <c r="B270" s="4"/>
      <c r="C270" s="4"/>
      <c r="D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9.5" customHeight="1" x14ac:dyDescent="0.2">
      <c r="A271" s="4"/>
      <c r="B271" s="4"/>
      <c r="C271" s="4"/>
      <c r="D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9.5" customHeight="1" x14ac:dyDescent="0.2">
      <c r="A272" s="4"/>
      <c r="B272" s="4"/>
      <c r="C272" s="4"/>
      <c r="D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9.5" customHeight="1" x14ac:dyDescent="0.2">
      <c r="A273" s="4"/>
      <c r="B273" s="4"/>
      <c r="C273" s="4"/>
      <c r="D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9.5" customHeight="1" x14ac:dyDescent="0.2">
      <c r="A274" s="4"/>
      <c r="B274" s="4"/>
      <c r="C274" s="4"/>
      <c r="D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9.5" customHeight="1" x14ac:dyDescent="0.2">
      <c r="A275" s="4"/>
      <c r="B275" s="4"/>
      <c r="C275" s="4"/>
      <c r="D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9.5" customHeight="1" x14ac:dyDescent="0.2">
      <c r="A276" s="4"/>
      <c r="B276" s="4"/>
      <c r="C276" s="4"/>
      <c r="D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9.5" customHeight="1" x14ac:dyDescent="0.2">
      <c r="A277" s="4"/>
      <c r="B277" s="4"/>
      <c r="C277" s="4"/>
      <c r="D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9.5" customHeight="1" x14ac:dyDescent="0.2">
      <c r="A278" s="4"/>
      <c r="B278" s="4"/>
      <c r="C278" s="4"/>
      <c r="D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9.5" customHeight="1" x14ac:dyDescent="0.2">
      <c r="A279" s="4"/>
      <c r="B279" s="4"/>
      <c r="C279" s="4"/>
      <c r="D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9.5" customHeight="1" x14ac:dyDescent="0.2">
      <c r="A280" s="4"/>
      <c r="B280" s="4"/>
      <c r="C280" s="4"/>
      <c r="D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9.5" customHeight="1" x14ac:dyDescent="0.2">
      <c r="A281" s="4"/>
      <c r="B281" s="4"/>
      <c r="C281" s="4"/>
      <c r="D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9.5" customHeight="1" x14ac:dyDescent="0.2">
      <c r="A282" s="4"/>
      <c r="B282" s="4"/>
      <c r="C282" s="4"/>
      <c r="D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9.5" customHeight="1" x14ac:dyDescent="0.2">
      <c r="A283" s="4"/>
      <c r="B283" s="4"/>
      <c r="C283" s="4"/>
      <c r="D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9.5" customHeight="1" x14ac:dyDescent="0.2">
      <c r="A284" s="4"/>
      <c r="B284" s="4"/>
      <c r="C284" s="4"/>
      <c r="D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9.5" customHeight="1" x14ac:dyDescent="0.2">
      <c r="A285" s="4"/>
      <c r="B285" s="4"/>
      <c r="C285" s="4"/>
      <c r="D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9.5" customHeight="1" x14ac:dyDescent="0.2">
      <c r="A286" s="4"/>
      <c r="B286" s="4"/>
      <c r="C286" s="4"/>
      <c r="D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9.5" customHeight="1" x14ac:dyDescent="0.2">
      <c r="A287" s="4"/>
      <c r="B287" s="4"/>
      <c r="C287" s="4"/>
      <c r="D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9.5" customHeight="1" x14ac:dyDescent="0.2">
      <c r="A288" s="4"/>
      <c r="B288" s="4"/>
      <c r="C288" s="4"/>
      <c r="D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9.5" customHeight="1" x14ac:dyDescent="0.2">
      <c r="A289" s="4"/>
      <c r="B289" s="4"/>
      <c r="C289" s="4"/>
      <c r="D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9.5" customHeight="1" x14ac:dyDescent="0.2">
      <c r="A290" s="4"/>
      <c r="B290" s="4"/>
      <c r="C290" s="4"/>
      <c r="D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9.5" customHeight="1" x14ac:dyDescent="0.2">
      <c r="A291" s="4"/>
      <c r="B291" s="4"/>
      <c r="C291" s="4"/>
      <c r="D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9.5" customHeight="1" x14ac:dyDescent="0.2">
      <c r="A292" s="4"/>
      <c r="B292" s="4"/>
      <c r="C292" s="4"/>
      <c r="D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9.5" customHeight="1" x14ac:dyDescent="0.2">
      <c r="A293" s="4"/>
      <c r="B293" s="4"/>
      <c r="C293" s="4"/>
      <c r="D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9.5" customHeight="1" x14ac:dyDescent="0.2">
      <c r="A294" s="4"/>
      <c r="B294" s="4"/>
      <c r="C294" s="4"/>
      <c r="D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9.5" customHeight="1" x14ac:dyDescent="0.2">
      <c r="A295" s="4"/>
      <c r="B295" s="4"/>
      <c r="C295" s="4"/>
      <c r="D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9.5" customHeight="1" x14ac:dyDescent="0.2">
      <c r="A296" s="4"/>
      <c r="B296" s="4"/>
      <c r="C296" s="4"/>
      <c r="D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9.5" customHeight="1" x14ac:dyDescent="0.2">
      <c r="A297" s="4"/>
      <c r="B297" s="4"/>
      <c r="C297" s="4"/>
      <c r="D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9.5" customHeight="1" x14ac:dyDescent="0.2">
      <c r="A298" s="4"/>
      <c r="B298" s="4"/>
      <c r="C298" s="4"/>
      <c r="D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9.5" customHeight="1" x14ac:dyDescent="0.2">
      <c r="A299" s="4"/>
      <c r="B299" s="4"/>
      <c r="C299" s="4"/>
      <c r="D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9.5" customHeight="1" x14ac:dyDescent="0.2">
      <c r="A300" s="4"/>
      <c r="B300" s="4"/>
      <c r="C300" s="4"/>
      <c r="D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9.5" customHeight="1" x14ac:dyDescent="0.2">
      <c r="A301" s="4"/>
      <c r="B301" s="4"/>
      <c r="C301" s="4"/>
      <c r="D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9.5" customHeight="1" x14ac:dyDescent="0.2">
      <c r="A302" s="4"/>
      <c r="B302" s="4"/>
      <c r="C302" s="4"/>
      <c r="D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9.5" customHeight="1" x14ac:dyDescent="0.2">
      <c r="A303" s="4"/>
      <c r="B303" s="4"/>
      <c r="C303" s="4"/>
      <c r="D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9.5" customHeight="1" x14ac:dyDescent="0.2">
      <c r="A304" s="4"/>
      <c r="B304" s="4"/>
      <c r="C304" s="4"/>
      <c r="D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9.5" customHeight="1" x14ac:dyDescent="0.2">
      <c r="A305" s="4"/>
      <c r="B305" s="4"/>
      <c r="C305" s="4"/>
      <c r="D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9.5" customHeight="1" x14ac:dyDescent="0.2">
      <c r="A306" s="4"/>
      <c r="B306" s="4"/>
      <c r="C306" s="4"/>
      <c r="D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9.5" customHeight="1" x14ac:dyDescent="0.2">
      <c r="A307" s="4"/>
      <c r="B307" s="4"/>
      <c r="C307" s="4"/>
      <c r="D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9.5" customHeight="1" x14ac:dyDescent="0.2">
      <c r="A308" s="4"/>
      <c r="B308" s="4"/>
      <c r="C308" s="4"/>
      <c r="D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9.5" customHeight="1" x14ac:dyDescent="0.2">
      <c r="A309" s="4"/>
      <c r="B309" s="4"/>
      <c r="C309" s="4"/>
      <c r="D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9.5" customHeight="1" x14ac:dyDescent="0.2">
      <c r="A310" s="4"/>
      <c r="B310" s="4"/>
      <c r="C310" s="4"/>
      <c r="D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9.5" customHeight="1" x14ac:dyDescent="0.2">
      <c r="A311" s="4"/>
      <c r="B311" s="4"/>
      <c r="C311" s="4"/>
      <c r="D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9.5" customHeight="1" x14ac:dyDescent="0.2">
      <c r="A312" s="4"/>
      <c r="B312" s="4"/>
      <c r="C312" s="4"/>
      <c r="D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9.5" customHeight="1" x14ac:dyDescent="0.2">
      <c r="A313" s="4"/>
      <c r="B313" s="4"/>
      <c r="C313" s="4"/>
      <c r="D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9.5" customHeight="1" x14ac:dyDescent="0.2">
      <c r="A314" s="4"/>
      <c r="B314" s="4"/>
      <c r="C314" s="4"/>
      <c r="D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9.5" customHeight="1" x14ac:dyDescent="0.2">
      <c r="A315" s="4"/>
      <c r="B315" s="4"/>
      <c r="C315" s="4"/>
      <c r="D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9.5" customHeight="1" x14ac:dyDescent="0.2">
      <c r="A316" s="4"/>
      <c r="B316" s="4"/>
      <c r="C316" s="4"/>
      <c r="D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9.5" customHeight="1" x14ac:dyDescent="0.2">
      <c r="A317" s="4"/>
      <c r="B317" s="4"/>
      <c r="C317" s="4"/>
      <c r="D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9.5" customHeight="1" x14ac:dyDescent="0.2">
      <c r="A318" s="4"/>
      <c r="B318" s="4"/>
      <c r="C318" s="4"/>
      <c r="D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9.5" customHeight="1" x14ac:dyDescent="0.2">
      <c r="A319" s="4"/>
      <c r="B319" s="4"/>
      <c r="C319" s="4"/>
      <c r="D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9.5" customHeight="1" x14ac:dyDescent="0.2">
      <c r="A320" s="4"/>
      <c r="B320" s="4"/>
      <c r="C320" s="4"/>
      <c r="D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9.5" customHeight="1" x14ac:dyDescent="0.2">
      <c r="A321" s="4"/>
      <c r="B321" s="4"/>
      <c r="C321" s="4"/>
      <c r="D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9.5" customHeight="1" x14ac:dyDescent="0.2">
      <c r="A322" s="4"/>
      <c r="B322" s="4"/>
      <c r="C322" s="4"/>
      <c r="D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9.5" customHeight="1" x14ac:dyDescent="0.2">
      <c r="A323" s="4"/>
      <c r="B323" s="4"/>
      <c r="C323" s="4"/>
      <c r="D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9.5" customHeight="1" x14ac:dyDescent="0.2">
      <c r="A324" s="4"/>
      <c r="B324" s="4"/>
      <c r="C324" s="4"/>
      <c r="D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9.5" customHeight="1" x14ac:dyDescent="0.2">
      <c r="A325" s="4"/>
      <c r="B325" s="4"/>
      <c r="C325" s="4"/>
      <c r="D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9.5" customHeight="1" x14ac:dyDescent="0.2">
      <c r="A326" s="4"/>
      <c r="B326" s="4"/>
      <c r="C326" s="4"/>
      <c r="D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9.5" customHeight="1" x14ac:dyDescent="0.2">
      <c r="A327" s="4"/>
      <c r="B327" s="4"/>
      <c r="C327" s="4"/>
      <c r="D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9.5" customHeight="1" x14ac:dyDescent="0.2">
      <c r="A328" s="4"/>
      <c r="B328" s="4"/>
      <c r="C328" s="4"/>
      <c r="D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9.5" customHeight="1" x14ac:dyDescent="0.2">
      <c r="A329" s="4"/>
      <c r="B329" s="4"/>
      <c r="D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9.5" customHeight="1" x14ac:dyDescent="0.2">
      <c r="A330" s="4"/>
      <c r="B330" s="4"/>
      <c r="D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9.5" customHeight="1" x14ac:dyDescent="0.2">
      <c r="A331" s="4"/>
      <c r="B331" s="4"/>
      <c r="D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9.5" customHeight="1" x14ac:dyDescent="0.2">
      <c r="A332" s="4"/>
      <c r="B332" s="4"/>
      <c r="D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9.5" customHeight="1" x14ac:dyDescent="0.2">
      <c r="A333" s="4"/>
      <c r="B333" s="4"/>
      <c r="D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9.5" customHeight="1" x14ac:dyDescent="0.2">
      <c r="A334" s="4"/>
      <c r="B334" s="4"/>
      <c r="D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9.5" customHeight="1" x14ac:dyDescent="0.2">
      <c r="A335" s="4"/>
      <c r="D335" s="4"/>
      <c r="AD335" s="4"/>
      <c r="AE335" s="4"/>
      <c r="AF335" s="4"/>
      <c r="AG335" s="4"/>
    </row>
    <row r="336" spans="1:33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3">
    <mergeCell ref="A3:C3"/>
    <mergeCell ref="E3:Q3"/>
    <mergeCell ref="R3:AC3"/>
    <mergeCell ref="E4:E5"/>
    <mergeCell ref="F4:I4"/>
    <mergeCell ref="J4:K4"/>
    <mergeCell ref="L4:M4"/>
    <mergeCell ref="AB4:AC4"/>
    <mergeCell ref="S4:S5"/>
    <mergeCell ref="T4:V4"/>
    <mergeCell ref="X4:X5"/>
    <mergeCell ref="Y4:Y5"/>
    <mergeCell ref="Z4:AA4"/>
    <mergeCell ref="J33:L33"/>
    <mergeCell ref="A43:C43"/>
    <mergeCell ref="P4:P5"/>
    <mergeCell ref="Q4:Q5"/>
    <mergeCell ref="R4:R5"/>
    <mergeCell ref="N4:N5"/>
    <mergeCell ref="O4:O5"/>
    <mergeCell ref="A17:C17"/>
    <mergeCell ref="E19:R19"/>
    <mergeCell ref="A30:C30"/>
  </mergeCells>
  <printOptions horizontalCentered="1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2026-05-31</vt:lpstr>
      <vt:lpstr>2026-06-01</vt:lpstr>
      <vt:lpstr>2026-06-02</vt:lpstr>
      <vt:lpstr>2026-06-03</vt:lpstr>
      <vt:lpstr>2026-06-04</vt:lpstr>
      <vt:lpstr>2026-06-05</vt:lpstr>
      <vt:lpstr>2026-06-06</vt:lpstr>
      <vt:lpstr>2026-06-07</vt:lpstr>
      <vt:lpstr>2026-06-08</vt:lpstr>
      <vt:lpstr>2026-06-09</vt:lpstr>
      <vt:lpstr>2026-06-10</vt:lpstr>
      <vt:lpstr>2026-06-11</vt:lpstr>
      <vt:lpstr>2026-06-12</vt:lpstr>
      <vt:lpstr>2026-06-13</vt:lpstr>
      <vt:lpstr>2026-06-14</vt:lpstr>
      <vt:lpstr>2026-06-15</vt:lpstr>
      <vt:lpstr>2026-06-16</vt:lpstr>
      <vt:lpstr>2026-06-17</vt:lpstr>
      <vt:lpstr>2026-06-18</vt:lpstr>
      <vt:lpstr>2026-06-19</vt:lpstr>
      <vt:lpstr>2026-06-20</vt:lpstr>
      <vt:lpstr>2026-06-21</vt:lpstr>
      <vt:lpstr>2026-06-22</vt:lpstr>
      <vt:lpstr>2026-06-23</vt:lpstr>
      <vt:lpstr>2026-06-24</vt:lpstr>
      <vt:lpstr>2026-06-25</vt:lpstr>
      <vt:lpstr>2026-06-26</vt:lpstr>
      <vt:lpstr>2026-06-27</vt:lpstr>
      <vt:lpstr>2026-06-28</vt:lpstr>
      <vt:lpstr>2026-06-29</vt:lpstr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joko segoro</cp:lastModifiedBy>
  <dcterms:created xsi:type="dcterms:W3CDTF">2026-05-31T23:35:11Z</dcterms:created>
  <dcterms:modified xsi:type="dcterms:W3CDTF">2026-07-11T01:06:38Z</dcterms:modified>
</cp:coreProperties>
</file>